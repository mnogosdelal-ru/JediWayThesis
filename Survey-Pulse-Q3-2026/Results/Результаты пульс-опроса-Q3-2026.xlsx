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Data" sheetId="1" r:id="rId5"/>
    <sheet state="visible" name="Аналитика" sheetId="2" r:id="rId6"/>
    <sheet state="visible" name="По человекам" sheetId="3" r:id="rId7"/>
    <sheet state="visible" name="Инсайты" sheetId="4" r:id="rId8"/>
    <sheet state="visible" name="Комментарии" sheetId="5" r:id="rId9"/>
  </sheets>
  <definedNames>
    <definedName name="TotalWeekRespondents">'Аналитика'!$B$10</definedName>
    <definedName name="CurSprint">'Аналитика'!$B$1</definedName>
    <definedName hidden="1" localSheetId="0" name="_xlnm._FilterDatabase">RawData!$A$1:$W$606</definedName>
  </definedNames>
  <calcPr/>
</workbook>
</file>

<file path=xl/sharedStrings.xml><?xml version="1.0" encoding="utf-8"?>
<sst xmlns="http://schemas.openxmlformats.org/spreadsheetml/2006/main" count="3102" uniqueCount="1276">
  <si>
    <t>timestamp</t>
  </si>
  <si>
    <t>Инсайты</t>
  </si>
  <si>
    <t>session_id</t>
  </si>
  <si>
    <t>tg_id</t>
  </si>
  <si>
    <t>week</t>
  </si>
  <si>
    <t>group_id</t>
  </si>
  <si>
    <t>cubes_reactive</t>
  </si>
  <si>
    <t>cubes_proactive</t>
  </si>
  <si>
    <t>cubes_operational</t>
  </si>
  <si>
    <t>cubes_pool</t>
  </si>
  <si>
    <t>satisfaction</t>
  </si>
  <si>
    <t>representative</t>
  </si>
  <si>
    <t>work_life</t>
  </si>
  <si>
    <t>pss_1</t>
  </si>
  <si>
    <t>pss_2</t>
  </si>
  <si>
    <t>pss_3</t>
  </si>
  <si>
    <t>pss_4</t>
  </si>
  <si>
    <t>takeaway</t>
  </si>
  <si>
    <t>comment</t>
  </si>
  <si>
    <t>time_total</t>
  </si>
  <si>
    <t>device_type</t>
  </si>
  <si>
    <t>Фактор дистресса</t>
  </si>
  <si>
    <t>Фактор совладания</t>
  </si>
  <si>
    <t>Воспринимаемый стресс</t>
  </si>
  <si>
    <t>5501a13245b9a5b2133ed7b01a73fd31</t>
  </si>
  <si>
    <t>artsm92</t>
  </si>
  <si>
    <t>🔥%20Огоньки%20(ДС%202026q3)</t>
  </si>
  <si>
    <t>- одна задача в один момент времени, отключать уведомления в чатах где постоянно тегают
- формулировка целей важна и размышления на тему где я сейчас</t>
  </si>
  <si>
    <t>mobile</t>
  </si>
  <si>
    <t>b6d79df46cbaae1c89fa5ccc891b2b75</t>
  </si>
  <si>
    <t>unfreeshooter</t>
  </si>
  <si>
    <t>🔥 Огоньки (ДС 2026q3)</t>
  </si>
  <si>
    <t>если делать и потом аналитить - почти все срабатывает на мне из практик.
а если аналитить, а потом делать - делать будет нечего: все воспринимается лишь В ТЕОРИИ</t>
  </si>
  <si>
    <t>не очень показателен п2 "Насколько прошедшая неделя была похожа на ваш обычный режим работы?*" для меня: я из Севастополя, у нас внезапные отключения ЭЭ, что сильно влияет на формат работы.
ну и пункты дальше тоже в разрезе проблем локальных с бензом и эл-вом/водой (пока только с ними)- все по фактам</t>
  </si>
  <si>
    <t>desktop</t>
  </si>
  <si>
    <t>1dd388c2279277f99a769060a5ed92df</t>
  </si>
  <si>
    <t>chernykh_irina</t>
  </si>
  <si>
    <t>💥%20Искорки%20(ДС%202026q3)</t>
  </si>
  <si>
    <t>Немножко почитала задачки и цели ребят на доске практики и поняла, что у меня в принципе нет опасений в жизни. Мои задачки все или рутинные или те, которые ведут меня к целям. По отдыху тоже интуитивно распределяю всякие классные активности, единственное в течение дня работаю и совсем не отдыхаю. Уже нашла пилатес-стулию рядом с работой, вот вернусь с командировки мечты и начну ходить по средам в обед на пилатес. И хочу потихоньку внедрять помидорки с отдыхом между ними и ретроспективу с командой по рабочим задачкам .</t>
  </si>
  <si>
    <t>Есть ощущение некоторой сумбурности в части просматриваемых видео. Понятно, что у вас уже накоплен багаж и одно и то же переснимать не сильно эффективно. Но например, ответы на вопросы с какой-то практики: Максим говорит про улитки так, что я уже должна быть сильно в теме, а мы ж ещё нигде не обсуждали их ☹️ На самой практике я не поняла почему до докопались с моей задачей «запросить документы для учебы», которую я привязала к цели «я настроила бизнес-процессы». Это же первый шажок к тому, чтобы научиться настраивать грамотно бизнес-процессы. Есть тут некоторое недопонимание, что за цель тогда должна быть, какой масштаб? Понимаю, что сложно выслушать все тройки, но ребята же могут просто не так понять и уйти в демагогию при обсуждении чьей-то цели. Кажется, что стоит делать акцент на длине чтобычтотора и вообще на то, что надо именно через «чтобы что» связывать задачу с целью. И рандомно выбирать хотя бы три таких связки для разбора под присмотром Максима не по комнатам, а при всё честнОм народе 🤗</t>
  </si>
  <si>
    <t>4a30073f1ead1ba55d61a0be343d0577</t>
  </si>
  <si>
    <t>Garikos8</t>
  </si>
  <si>
    <t>Мало составить план, надо уметь и двигаться по нему.</t>
  </si>
  <si>
    <t>a28815f6be6b96080aaa10769c623798</t>
  </si>
  <si>
    <t>i1024i</t>
  </si>
  <si>
    <t>🌟%20Звёздочки%20(ДС%202026q3)</t>
  </si>
  <si>
    <t>Нужно планировать отдых, заранее определиться, как я буду отдыхать и использовать свободное время</t>
  </si>
  <si>
    <t>4a5c4304337932162d21dade1831f645</t>
  </si>
  <si>
    <t>tnikotyan</t>
  </si>
  <si>
    <t>💥 Искорки (ДС 2026q3)</t>
  </si>
  <si>
    <t>3de1e7bf0e4c2263132190427bb172e7</t>
  </si>
  <si>
    <t>nvkoy</t>
  </si>
  <si>
    <t>🌟 Звёздочки (ДС 2026q3)</t>
  </si>
  <si>
    <t>"Чтобы что" сильно помогает избавиться от лишнего и расставить реальные приоритеты</t>
  </si>
  <si>
    <t>Вы лучшие! Спасибо! :)</t>
  </si>
  <si>
    <t>4ba89f712442ebd55f3f6b203be24be0</t>
  </si>
  <si>
    <t>dimisi</t>
  </si>
  <si>
    <t>Отдыхать - крута!</t>
  </si>
  <si>
    <t>98c4160f00a06c6698f9b03478083c04</t>
  </si>
  <si>
    <t>oakimov</t>
  </si>
  <si>
    <t>Отдых - неотъемлемая часть грамотного труда</t>
  </si>
  <si>
    <t>4bf2f7e9a7089a54f51634223dde8ef9</t>
  </si>
  <si>
    <t>DarkJewel</t>
  </si>
  <si>
    <t>Читать художественные книги - мой вариант отдыха.</t>
  </si>
  <si>
    <t>Тяжёлая неделя, сделал очень мало. Ресурс в основном потрачен на поддержание жизни в тушке и на дохрена тревожных мыслей. НО! меня на этой неделе нашла работа, в понедельник выхожу на первую смену.</t>
  </si>
  <si>
    <t>a013009f551579acc6d31ae0fd2ffb29</t>
  </si>
  <si>
    <t>fyodor5</t>
  </si>
  <si>
    <t>Мне необходимо внедрять рутины для фокуса на важных задачах для их выполнения, иначе я просто не сажусь их выполнять и разбираться.</t>
  </si>
  <si>
    <t>950e34770b251536f8703a5140c506a3</t>
  </si>
  <si>
    <t>n_Set</t>
  </si>
  <si>
    <t>что давно забыл что мне именно интересно , так как часто перегружал себя работой, и когда приходит пора др я оч долго думаю чего бы я хотел, чаще говорю у меня все есть давайте деньгами</t>
  </si>
  <si>
    <t>7bbad278ff70c5aa5f60086de71d2323</t>
  </si>
  <si>
    <t>anna_metel87</t>
  </si>
  <si>
    <t>Из практики "чтобычтотор" - пожалуй, сам факт сформулированных целей.
Из книги "Путь джедая" - что работать над зеленой задачей надо 1м делом за день и в любом состоянии и обстоятельствах, если хочешь прогресс.</t>
  </si>
  <si>
    <t>Вопрос: если задача понятна "обезьяне", но я все равно не хочу ее делать и поэтому откладываю - как мне решить эту проблему?
По-хорошему, да, надо делегировать, это просто "не моя" задача, она не приближает меня ни к чему. Но я не могу ее спихнуть, это часть моих рабочих обязанностей, она недостаточна для найма целого человека (опять же NDA, чувствительные данные) и ее невозможно автоматизировать (там все что можно автоматизировано, мне финально просмотреть и каждый раз через боль🤪😁).</t>
  </si>
  <si>
    <t>de27f4ae585a5b80d653f2d00f5d3feb</t>
  </si>
  <si>
    <t>victor_goriunov</t>
  </si>
  <si>
    <t>Via negativa. Не столько добавлять упражнения для отдыха, сколько НЕ делать лишнего. 
Есть предощущение, что текущий курс может сработать.</t>
  </si>
  <si>
    <t>85727bd551d9a4576689d6beae69dee6</t>
  </si>
  <si>
    <t>PalaVistas</t>
  </si>
  <si>
    <t>9ec07e9263d0206f098f5f4af3bf16f0</t>
  </si>
  <si>
    <t>PolyakovaAR</t>
  </si>
  <si>
    <t>мне очень тяжело заставлять себя читать правила всех этих опросников тетрадей и прочего я не вижу в них ценности</t>
  </si>
  <si>
    <t>c493b0688a2309f5eb2a18ee2a9b24be</t>
  </si>
  <si>
    <t>kiralary</t>
  </si>
  <si>
    <t>☀️%20Лучики%20(ДС%202026q3)</t>
  </si>
  <si>
    <t>Можно отдыхать каждый день! Даже пять минут отдыха уже что-то значат.</t>
  </si>
  <si>
    <t>Спасибо за рекомендацию Анны Обуховой. Теперь слушаю её в свободное время</t>
  </si>
  <si>
    <t>ac10cbb802efa6b77ccf890acaa30db2</t>
  </si>
  <si>
    <t>basilmiron</t>
  </si>
  <si>
    <t>☀️ Лучики (ДС 2026q3)</t>
  </si>
  <si>
    <t>Хочешь чему-то научиться -- попробуй научить этому других.</t>
  </si>
  <si>
    <t>Хотелось бы большей вовлечённости участников -- пока что чат нашей группы в телеге потихоньку зарастает тиной и покрывается ряской 🥲</t>
  </si>
  <si>
    <t>4b2d6b105edba5b16e2937cd6c02300a</t>
  </si>
  <si>
    <t>LESNYAKSERGEY</t>
  </si>
  <si>
    <t>845c8863cec29d0b32eae38855a8d42c</t>
  </si>
  <si>
    <t>Olegkim0</t>
  </si>
  <si>
    <t>4cb2ef87d139c0e0271a8281c30790cd</t>
  </si>
  <si>
    <t>shaklein_e</t>
  </si>
  <si>
    <t>Что живу содержательную и интересную жизнь</t>
  </si>
  <si>
    <t>9ef2e0fec483bfa493bd00e2ce84f744</t>
  </si>
  <si>
    <t>petrovgenq</t>
  </si>
  <si>
    <t>чат</t>
  </si>
  <si>
    <t>Отдых это важно</t>
  </si>
  <si>
    <t>Спасибо за то, что вы делаете</t>
  </si>
  <si>
    <t>d81a06a6395aec67d6cf869068999809</t>
  </si>
  <si>
    <t>elpaev</t>
  </si>
  <si>
    <t>3b2198a73517fc391fa71e547fb26be1</t>
  </si>
  <si>
    <t>dhbdt</t>
  </si>
  <si>
    <t>Участник</t>
  </si>
  <si>
    <t>Даже если прямо сейчас я не могу воспользоваться всеми накопленными знаниями/навыками, это не делает их бесполезными
И это повод сфокусироваться не на приобретении новых, а на распаковывании этого багажа силы</t>
  </si>
  <si>
    <t>asya_in_motion</t>
  </si>
  <si>
    <t>3635adc097205b514c8c7bd033e85d97</t>
  </si>
  <si>
    <t>Средний фактор дистресса</t>
  </si>
  <si>
    <t>grigory_sam</t>
  </si>
  <si>
    <t>Средний фактор совладания</t>
  </si>
  <si>
    <t>Неделя 0</t>
  </si>
  <si>
    <t>Короткая версия - 
Парадоксально, что на неделе посвященной Отдыху я херачил как не в себя. Но постоянно держал в голове мысль о важности отдыха. Да и почувствовать эту важность получилось, когда энергию приходилось выскребать с самого дна.
Для отдыха как будто бы не оставалось времени (там очень страшная красная задача, точнее проект). 
Так вот, удалось столкнуть жесткое пренебреждение отдыхом и осознание абсолютной необходимости в нём.
И я нашел один из потерянных ключей к своей продуктивности - чрезвычайно важны понятные и конкретные мои собственные цели.
Я теряю время в течение рабочего дня, потому что не могу сконцентрироваться и сделать даже что-то обезьянопонятное. 
Но как только у меня в трекере появилась связь задач с целями - это был настоящий буст. 
Инсайт сугубо личный.
Есть немало людей, которые хорошо формулируют и представляют свои цели.
Иметь кристально ясную, мою собственную, личную цель (которая ничем не оправдана, типа работы) - очень помогает быть эффективнее, даже когда энергии почти нет.</t>
  </si>
  <si>
    <t>Искренняя благодарность.
Отдельно приятно, что у курса так хорошо развилась коммьюнити-составляющая, это здорово.</t>
  </si>
  <si>
    <t>e30b3be204d2fa9d7cc26eec59e7108d</t>
  </si>
  <si>
    <t>Katrinacarrotss</t>
  </si>
  <si>
    <t>Мне нужно включить в свою жизнь отдых. ежедневный, еженедельный, ежемесячный, ежегодный. Я на правильном пути</t>
  </si>
  <si>
    <t>Здорово, что есть такой проект и он помогает людям улучшать жизнь</t>
  </si>
  <si>
    <t>172a6a56331da047b00273e32207d689</t>
  </si>
  <si>
    <t>sp190819</t>
  </si>
  <si>
    <t>1. То, что в списке моих текущих задач практически нет задач, которые напрямую бы вели меня к моим целям, 
2. То, что отдых можно и нужно планировать и организовывать как сам отдых, так и время для него...</t>
  </si>
  <si>
    <t>Вижу большую ценность в практике, вовлечен скорее на минималках, то есть делаю необходимое почти в срок, меня это устраивает...</t>
  </si>
  <si>
    <t>eb27c285c0911029f321c56039b04f93</t>
  </si>
  <si>
    <t>mitgych</t>
  </si>
  <si>
    <t>джедайский старт - мой шанс выбраться из рутины.</t>
  </si>
  <si>
    <t>5dde0de6f7bf2f7bd95fdcf716c9debe</t>
  </si>
  <si>
    <t>tigrenok_katiel</t>
  </si>
  <si>
    <t>96ec63d4dab19babc9358e877514b445</t>
  </si>
  <si>
    <t>chillimpostor</t>
  </si>
  <si>
    <t>Главные идеи/выводы по теме недели.
- Важно благополучие, работа и дела не цель, а средство.
- Самоорганизация и планирование, системы и техники, нужны чтобы жить лучше, а не делать больше. 
- Отдых и досуг не награда, а забота о себе. Без них нет сил и желания, только истощение, выгорание и саботаж.</t>
  </si>
  <si>
    <t>995b4fba758836832c8b3c807d0dd941</t>
  </si>
  <si>
    <t>dmtszv</t>
  </si>
  <si>
    <t>Мне необходимо чётко разделять отдых и работу и не жертвовать первым в пользу второго.</t>
  </si>
  <si>
    <t>Вы мне нравитесь ;)</t>
  </si>
  <si>
    <t>76818b0bb39c8fde93db3fe7c435c371</t>
  </si>
  <si>
    <t>baikova_f</t>
  </si>
  <si>
    <t>Я не умею отдыхать. Срочно учиться отдыхать! Искать радости для ежедневного и еженедельного отдыха.</t>
  </si>
  <si>
    <t>🫶</t>
  </si>
  <si>
    <t>07aa1418f1cf5886048222d19aed58a8</t>
  </si>
  <si>
    <t>Ninanikolavna</t>
  </si>
  <si>
    <t>Что отдых в шкале важности должен быть наравне с работой. А не на последнем месте, как у меня.</t>
  </si>
  <si>
    <t>Спасибо, мне у вас нравится:)</t>
  </si>
  <si>
    <t>Неделя 1</t>
  </si>
  <si>
    <t>39de27188ff28233cab652101f1324b2</t>
  </si>
  <si>
    <t>oNZ7xpXJfrkasyb2enBr</t>
  </si>
  <si>
    <t>Укрепился в мысли, что без качественного целеполагания эффективно тратить мыслетопливо не получится. А для целей нужно сформулировать идентичность. В свою очередь для определения идентичности, чтобы хватило сил, сначала нужно научиться отдыхать (на этой формулировке обезьяну хватил Кондратий).</t>
  </si>
  <si>
    <t>b5d32088b1e337361fdc777e91d56681</t>
  </si>
  <si>
    <t>smart_roger</t>
  </si>
  <si>
    <t>93d360291e11d9552e18d5338e87b754</t>
  </si>
  <si>
    <t>zhilabylamasha</t>
  </si>
  <si>
    <t>Если есть время, нужно в него «попадать», иначе потом вернуться к задаче будет сложно.</t>
  </si>
  <si>
    <t>1abd48cde723ee4585125f117925cfa7</t>
  </si>
  <si>
    <t>TaM_tAm_666</t>
  </si>
  <si>
    <t>Нужно регулярно ходить в отпуска. Кайфовый отпуск - залог хорошего настроения.</t>
  </si>
  <si>
    <t>e09a43a51e3b97f4d10cd33ed5c51f75</t>
  </si>
  <si>
    <t>OlegLyukshin</t>
  </si>
  <si>
    <t>456b8de36dc43a6c82a07736d53d3379</t>
  </si>
  <si>
    <t>komalexei</t>
  </si>
  <si>
    <t>Неделя 2</t>
  </si>
  <si>
    <t>Важно находить время для отдыха который тебя порадует или просто отключиться от информационного шума и прогуляться 10-15 минут наедине с самим собой.</t>
  </si>
  <si>
    <t>ca4e5e94257151975f77944f3c317d54</t>
  </si>
  <si>
    <t>vkomiko</t>
  </si>
  <si>
    <t>Нам нужен не отдых, а пополнение батарейки. Батарейка может быть пополнена различными активностями, которые тебя драйвят</t>
  </si>
  <si>
    <t>f12da707928e9219547f12ad4873ba06</t>
  </si>
  <si>
    <t>M_Gaidamaka</t>
  </si>
  <si>
    <t>2a55a70f24ab521478717d06e85910a0</t>
  </si>
  <si>
    <t>kotofos</t>
  </si>
  <si>
    <t>Неделя 3</t>
  </si>
  <si>
    <t>Надо отдых системный наладить</t>
  </si>
  <si>
    <t>b1c114aeeb7698f2cedb9d1f3d0e6426</t>
  </si>
  <si>
    <t>semarglll</t>
  </si>
  <si>
    <t>df389724d3ed7d5fe7740d6a4b6ea869</t>
  </si>
  <si>
    <t>maximgalson</t>
  </si>
  <si>
    <t>0f2a70caa95c141428b842dadf0d42ac</t>
  </si>
  <si>
    <t>GriDV</t>
  </si>
  <si>
    <t>8f0e737962cf14494102fe8b5b39e394</t>
  </si>
  <si>
    <t>a_a_koles</t>
  </si>
  <si>
    <t>907dc9bcbe5375dc7729e268267cf6e8</t>
  </si>
  <si>
    <t>katerrna</t>
  </si>
  <si>
    <t>12НГ 2026q3</t>
  </si>
  <si>
    <t>Неделя 4</t>
  </si>
  <si>
    <t>af8def6b37b3addde751b09ae3251fc8</t>
  </si>
  <si>
    <t>sersch_serg</t>
  </si>
  <si>
    <t>91da97b37c23df3ed0caacafa924db34</t>
  </si>
  <si>
    <t>moronizzz</t>
  </si>
  <si>
    <t>dd32ff21b543384e43b7c70e5668afd7</t>
  </si>
  <si>
    <t>ekandria_nova</t>
  </si>
  <si>
    <t>12НГ%202026q3</t>
  </si>
  <si>
    <t>3486a175ddce3b22c918448f03119057</t>
  </si>
  <si>
    <t>tem_ar</t>
  </si>
  <si>
    <t>29db108878d08e1af918b7431265ee1e</t>
  </si>
  <si>
    <t>Vibris</t>
  </si>
  <si>
    <t>Неделя 5</t>
  </si>
  <si>
    <t>Страт сессия забрала очень много сил, после этого мог делать только совсем простые дела и гулять. Хотя сознательно не казалось, что мы что-то такое делали.</t>
  </si>
  <si>
    <t>8a64118bdf9f0aaec6a5ee9ca450489b</t>
  </si>
  <si>
    <t>dmtrx7alien</t>
  </si>
  <si>
    <t>В сложные моменты жизни, сосредоточенность на выполнение повседневных дел помогает мне  уравновешивать психическое состоянии (на основе ежедневного мониторинга)</t>
  </si>
  <si>
    <t>cc56609dd18b7e32d7e07daac57d01f7</t>
  </si>
  <si>
    <t>lyuda_polshikova</t>
  </si>
  <si>
    <t>Что надо брать достаточно много всяких и разных  проектов, чтобы было потом что «убить».</t>
  </si>
  <si>
    <t>00cd3997352ef95032ff68ad8914c528</t>
  </si>
  <si>
    <t>pavlbon</t>
  </si>
  <si>
    <t>c96511e8423a119c502bcaca23880c63</t>
  </si>
  <si>
    <t>msartaev</t>
  </si>
  <si>
    <t>То что ты умеешь это хрень по важности) как и результаты) а то как ты продаешь это важнее всего остального</t>
  </si>
  <si>
    <t>0deaf94b0052d254767faae2f6e40deb</t>
  </si>
  <si>
    <t>ChasM2</t>
  </si>
  <si>
    <t>Неделя 6</t>
  </si>
  <si>
    <t>Сеть больше отдохни )</t>
  </si>
  <si>
    <t>3a51e900aad52a1ed1be08ceeefc1428</t>
  </si>
  <si>
    <t>graywrk</t>
  </si>
  <si>
    <t>3c2825760120919ff1ed8e359710ef8d</t>
  </si>
  <si>
    <t>MishinaAlena</t>
  </si>
  <si>
    <t>1 минута планки бодрит. Если не заряжать телефон с вечера, то его приходится заряжать утром (а не залипать в него). Я пока не могу справится с перекосом в работу и выжитым лимоном в конце рабочего дня. У меня не бывает проблем со сном, потому что я просто вырубаюсь.</t>
  </si>
  <si>
    <t>ea1143d7a1b09867efc8da7edce1494e</t>
  </si>
  <si>
    <t>Margarita_Zok</t>
  </si>
  <si>
    <t>Лечись! Лечись!
Пока не восстановишь тушку - будешь чучелом!</t>
  </si>
  <si>
    <t>Боюсь, что мои крайне херовые результаты из-за болезни длинной вам поломают метрику</t>
  </si>
  <si>
    <t>eceea811f745cc72f890dbf3a7df18f0</t>
  </si>
  <si>
    <t>yana_selezneva_coach</t>
  </si>
  <si>
    <t>-</t>
  </si>
  <si>
    <t>Слишком много вопросов в опросниках</t>
  </si>
  <si>
    <t>9b1370f288868e2424c9b0945ef973d6</t>
  </si>
  <si>
    <t>barvarbar</t>
  </si>
  <si>
    <t>Отдых -- великое дело</t>
  </si>
  <si>
    <t>Опросы заняли вместе совсем не 5 минут 😡</t>
  </si>
  <si>
    <t>Неделя 7</t>
  </si>
  <si>
    <t>e215541aeeb0c244d191e36b7d7b9ffe</t>
  </si>
  <si>
    <t>imagicdeer</t>
  </si>
  <si>
    <t>У меня в окружении есть тёплые важные друзья. Я досточно хорош чтобы двигаться к успеху и быть полезным. Я в целом достачно крут и моя отправная точка достаточно крепкая.</t>
  </si>
  <si>
    <t>Я сдал отчёт не вовремя😢я вылетел из обучения в отдых и не чекал чатики. Не знал что будет отчёт и это важно. Как увидел сразу заполнил.</t>
  </si>
  <si>
    <t>6afb080b69ecbb052834b24f9fc809e7</t>
  </si>
  <si>
    <t>vasilev_dm</t>
  </si>
  <si>
    <t>Научился радоваться простым вещам: поспал, поел, сходил на тренировку - значит все неплохо, несмотря на продолбыши по проектам</t>
  </si>
  <si>
    <t>a8fb2068a5197331612829494ebef43e</t>
  </si>
  <si>
    <t>tutankhamonych</t>
  </si>
  <si>
    <t>Впихиваем не только в день, но и в жизнь. А оно не впихивается.</t>
  </si>
  <si>
    <t>Опять кубики. Без автоматизации в планировщике - малополезное тыкание. Вопросы же из серии "Давно ли Вы бросили пить коньяк по утрам"</t>
  </si>
  <si>
    <t>43ddf1704048220f901e7270b14463b8</t>
  </si>
  <si>
    <t>mikulaYkt</t>
  </si>
  <si>
    <t>c09b313158d7c99459cf8921bbee3ba9</t>
  </si>
  <si>
    <t>nabiev80</t>
  </si>
  <si>
    <t>Сила вопроса чтобы что !</t>
  </si>
  <si>
    <t>610d12368c2476aa1df5752be4244644</t>
  </si>
  <si>
    <t>nkatsurina</t>
  </si>
  <si>
    <t>Неделя 8</t>
  </si>
  <si>
    <t>79832b28fea8022ff7de4ba54b0c289a</t>
  </si>
  <si>
    <t>stargriv</t>
  </si>
  <si>
    <t>86af4e3349b529826471ce8b722ff946</t>
  </si>
  <si>
    <t>tael_taeglin</t>
  </si>
  <si>
    <t>Нужно нанимать ещё одного менеджера</t>
  </si>
  <si>
    <t>6420a53104e9dac75af4a5af3514e71b</t>
  </si>
  <si>
    <t>Kos_Egor</t>
  </si>
  <si>
    <t>45ee2b4889ec574f5fc2323f9aec5995</t>
  </si>
  <si>
    <t>Phoeneeks</t>
  </si>
  <si>
    <t>Свой паттерн, который проявляется в том, что я ко второму спринту подхожу в состоянии, когда база и фундамент в просадке.
Перед тем, как достигнуть успеха, я подсознательно делаю действия, которые отдаляют меня от него, и усложняют мне путь к нему.
Отсутствие сна в течение нескольких дней перед стратсессией или другим важным мероприятием, которое потенциально увеличит количество задач, проектов, либо будет требовать ответственности от меня.
А ещё неумение отдыхать. Ведь только когда "Бобик сдох", мне официально разрешено отдыхать в моей голове.
А раз я это вижу и знаю - могу с этим что-то сделать.
Собственно в спринте буду над этим работать - большинство проектов как раз об этом всём в этот раз у меня, забота и любовь к себе в действиях, осознаное рукожопие, и беру по минимуму, фокусируясь на фундаменте, кайфах, и основном.
Антиуспешныйуспех. Слишком много достигатора необходимо полярным вытравливать.</t>
  </si>
  <si>
    <t>Ураааа!!! Новый вариант опроса!!!)))
Моя любимая психология(скупая слеза потекла от воспоминаний заполнения разных опросников с подобными шкалами)! :)</t>
  </si>
  <si>
    <t>9894f2b4408713b0f1a8b9011b4e348b</t>
  </si>
  <si>
    <t>ksemiya</t>
  </si>
  <si>
    <t>Неделя 9</t>
  </si>
  <si>
    <t>9bdb1a51e8f5f6d34358e0a1e935b1ec</t>
  </si>
  <si>
    <t>alvlivanov</t>
  </si>
  <si>
    <t>Вселенная помогает тебе решать проблемы, только важно сохранять спокойствие и продолжать движение - делать что-то в направлении решения проблем.</t>
  </si>
  <si>
    <t>fb79a2706e0b4fc001b9b10a2d350365</t>
  </si>
  <si>
    <t>Nikki2035</t>
  </si>
  <si>
    <t>d75e36485033a47954f9f9255ac3f7e6</t>
  </si>
  <si>
    <t>maksimbochkov</t>
  </si>
  <si>
    <t>Неделя 10</t>
  </si>
  <si>
    <t>0dae5025e34639ab3929dc122e4f74ab</t>
  </si>
  <si>
    <t>Mur_Roman</t>
  </si>
  <si>
    <t>e0f732ad647f74734f674a9b2ef834bf</t>
  </si>
  <si>
    <t>Alexs1288</t>
  </si>
  <si>
    <t>68828d1ae802dad3dd30894504d75436</t>
  </si>
  <si>
    <t>Olga_zabrodina79</t>
  </si>
  <si>
    <t>Надо отдыхать. Сон по 3 -4 часа в сутки не способствует продуктивной работе</t>
  </si>
  <si>
    <t>cb4048cd99781619620e1f1137abf668</t>
  </si>
  <si>
    <t>basdanil</t>
  </si>
  <si>
    <t>Были отгулы, ни могу вернуться в рабочий режим никак</t>
  </si>
  <si>
    <t>0b8208c9184792ec0951a5cd9516578c</t>
  </si>
  <si>
    <t>temp_nick</t>
  </si>
  <si>
    <t>82848daefd958969cff9b08b52699558</t>
  </si>
  <si>
    <t>advertumacj</t>
  </si>
  <si>
    <t>Неделя 11</t>
  </si>
  <si>
    <t>прикольно, когда попадаются новые заряженные бадди (и самое главное -- случайные) -- сразу будто свежий сахар для дрожжей ума</t>
  </si>
  <si>
    <t>на 3 день прокрастинации бота я смог заполнить опросник</t>
  </si>
  <si>
    <t>1b480e3de5c278a24ca4c8f4c195911e</t>
  </si>
  <si>
    <t>unSaintMan</t>
  </si>
  <si>
    <t>Вздох - ты жив не сдох.</t>
  </si>
  <si>
    <t>Спасибо!</t>
  </si>
  <si>
    <t>d7e4c894f8bcf8a60528d452b8f8884c</t>
  </si>
  <si>
    <t>vprgn</t>
  </si>
  <si>
    <t>417bbf8c9da6b474faaaff9581983237</t>
  </si>
  <si>
    <t>Knovelaer</t>
  </si>
  <si>
    <t>de5cdeaa1c929650105aa3ee03ea02b2</t>
  </si>
  <si>
    <t>Alexey_Logic</t>
  </si>
  <si>
    <t>Нужно  больше  времени уделять восстановлению</t>
  </si>
  <si>
    <t>Вы классные)</t>
  </si>
  <si>
    <t>26ae4319ab36030802a133134df0e1b8</t>
  </si>
  <si>
    <t>MagicUnderHood</t>
  </si>
  <si>
    <t>Неделя 12</t>
  </si>
  <si>
    <t>196afd81b065be9bf6d545550567568b</t>
  </si>
  <si>
    <t>irina_katenina</t>
  </si>
  <si>
    <t>2d7e10af6ccdc3354c7ea9d492c586fa</t>
  </si>
  <si>
    <t>bd60adaf997d3ac32feae48e906adaae</t>
  </si>
  <si>
    <t>JohnLP</t>
  </si>
  <si>
    <t>1. Что нужно сократить число проектов на спринт
2. Большинство проектов на спринт - это этапы Больших долгосрочных проектов.</t>
  </si>
  <si>
    <t>07565f3832674fa410319c2957790fd3</t>
  </si>
  <si>
    <t>3ff7142267c4b34e844bc1547210031e</t>
  </si>
  <si>
    <t>EkaterinaKazmina</t>
  </si>
  <si>
    <t>95ab724fc6c3cb0f81382017498cc4c8</t>
  </si>
  <si>
    <t>bab98eb7f7465857677c3bc92ba01b5d</t>
  </si>
  <si>
    <t>popovichse</t>
  </si>
  <si>
    <t>69b1713d685208eb00216a9ab14718a0</t>
  </si>
  <si>
    <t>048f1daccc309f980024b9de2ebdb972</t>
  </si>
  <si>
    <t>Многие мои проблемы с перегруженностью были от невыписанных задач. Я столько всего выписала после практики крючками, и стало гораздо легче жить</t>
  </si>
  <si>
    <t>Спасибо большое за ваш курс! Это какое-то чудо!</t>
  </si>
  <si>
    <t>41b69a17b112b1d8528da06773356f11</t>
  </si>
  <si>
    <t>1db034b5a4f4931ff05cbbf2e24bcc95</t>
  </si>
  <si>
    <t>maximvj</t>
  </si>
  <si>
    <t>68f696faba6516465a6a0b113f7500e6</t>
  </si>
  <si>
    <t>699deb12eefb3815b3d0ec0e2e744379</t>
  </si>
  <si>
    <t>Погрузиться полноценно в практики не всегда вышло. 
НО я перечитал главы из ДТ, почистил старый список сингулярки и наполнил его актуальными задачами. 
Дело за _малым_, еженедельным и ежедневными обзорами, верно?)
Пока не чувствую в себе сил в тегогонке, но я лежу в том направлении</t>
  </si>
  <si>
    <t>Не для протокола
Одним из главных достижений недели считаю настройку всего отдела против нового тупорылого руководства, и коллективное и персональное озвучивание накопившихся проблем. 
Ну в крайнем случае уволят, но это всё фигня. А ВДРУГ УСЛОВИЯ И ВЫПРЯМЯТСЯ, до выпрямления итальянская забастовка. Я крутой работник целые 8 часов, дальше я превращаюсь в семьянина.
Ваша роль во всём этом интересная. 
Прошлый спринт я отмечал в пульс опросе отвратные недели и отмечал всегда что они хуже моей обычной. К концу второго месяца поймал озарение,что отвратные недели превратились в нью нормал. 
И крепко задумался.</t>
  </si>
  <si>
    <t>bbe3ed20221f7173e7fa821ed6515888</t>
  </si>
  <si>
    <t>что можно перестать раскрашивать какие-то кубики зеленым или красным просто потому что так чувствую строго попробовать определить что согласуется с моими целями а что нет на текущий спринт</t>
  </si>
  <si>
    <t>49b359359980b033f449384c921536f5</t>
  </si>
  <si>
    <t>Формулировку задач для обезьяны, работу с идеями и проектами. Закрепил отдых. ОТДЫХ КРУТА! (надеюсь меня не уволят)))</t>
  </si>
  <si>
    <t>d93ba2f7f9c4e558e78efa75830d24ea</t>
  </si>
  <si>
    <t>Когда нет физических сил продуктивность отсутствует</t>
  </si>
  <si>
    <t>2c899bc323f7e1295c5379799e7379fc</t>
  </si>
  <si>
    <t>Очень большой проект закончился и его окончание затянулось:) надо больше публичности себя, чтобы было больше доверия</t>
  </si>
  <si>
    <t>ff54c562d00c0afb21d82ca24c0ef57a</t>
  </si>
  <si>
    <t>de33b477b09d052b3f5c44983f8a65ed</t>
  </si>
  <si>
    <t>Я поняла, что всё, что было сделано на стратсессиях надо переделать :) Я как будто сочиняла себе проекты вместо того, чтобы погрузиться в те, которые есть.</t>
  </si>
  <si>
    <t>Спасибо :)</t>
  </si>
  <si>
    <t>026750efcfef407d566ed58dd95b74f4</t>
  </si>
  <si>
    <t>Logsh123</t>
  </si>
  <si>
    <t>Вспомнил идею "Саморазвития", смотря видео от Просто Глеба, там говорилось что 1% достигается не одной "Темкой" или "Ставкой", а тем что делается ежедневно</t>
  </si>
  <si>
    <t>Вы крутые</t>
  </si>
  <si>
    <t>959f3e0386508d12cc65bf7244ac95a7</t>
  </si>
  <si>
    <t>6aabe252615414598787b95c92e23915</t>
  </si>
  <si>
    <t>Комментарии</t>
  </si>
  <si>
    <t>6d606481986bb76ef00e33bd5bef64e1</t>
  </si>
  <si>
    <t>Разбирать проекты сложно. Восхищаюсь бадди которые входят в спринт с уде разобранными проектами и подготовленной табличкой для трека продвижения</t>
  </si>
  <si>
    <t>8f3c41568c0d51139869d51d602e38dc</t>
  </si>
  <si>
    <t>DaniilShipilov</t>
  </si>
  <si>
    <t>67f5d3d1865b3a936dd13e2c527d0130</t>
  </si>
  <si>
    <t>Испытал разочарование от "практик":
Прошёлся по крючкам, новых задач в списке, что уже веду, не появилось. Практика известна и давно пользуюсь. Софт выбирать мне не требовалось, так как ведением задач занимаюсь давно.
Текст книги перечитал по заданию, новых мыслей или озарений не удалось получить.
Второй раз не попал на живое мероприятие в четверг из-за проблем организаторов, испытал разочарование.
Испытываю раздражение от куяи мест, где публикуется инфо спринта - приходится проходить по нескольку раз по источникам, чтобы понять, что надо делать. Нафига игрофикация какая-то с ботом вообще не понял, забил на публикацию какую-то в канале группы поэтому.</t>
  </si>
  <si>
    <t>59919a4041cf9e906cf76f003a79e6f9</t>
  </si>
  <si>
    <t>наверное, надо пользоваться планом из разбора проектов....</t>
  </si>
  <si>
    <t>8dc8eeb67e458b820afa325dbe43ee3e</t>
  </si>
  <si>
    <t>FixGN</t>
  </si>
  <si>
    <t>Думаю, что на этой неделе самым ценным было осознать полезность практики "Не пользоваться устройствами за час до сна". Всё-таки благодаря ней, я начал ложиться раньше, больше спать и высыпаться... Я всё ещё сплю по 11 часов по выходным, но, думаю, если дальше я буду придерживаться практики, то я наконец-таки высплюсь :-)</t>
  </si>
  <si>
    <t>e719c21754ad29c149a5b9eb795657ab</t>
  </si>
  <si>
    <t>Я доверяю себе, доверяю той части которую понимаю, доверяю той части которую не понимаю.</t>
  </si>
  <si>
    <t>459f033e0e3301b6a20afcc5afa7007e</t>
  </si>
  <si>
    <t>3199530117ad1b50f9fbb2e3044ed164</t>
  </si>
  <si>
    <t>xamess</t>
  </si>
  <si>
    <t>Обезьянкой можно управлять</t>
  </si>
  <si>
    <t>d698f92172da49b9512ae3112cbcde87</t>
  </si>
  <si>
    <t>iuliia_mk</t>
  </si>
  <si>
    <t>7223f67c75d94866b95112ac117ef925</t>
  </si>
  <si>
    <t>timpoorboy</t>
  </si>
  <si>
    <t>20cb2fae15c3a7937243303f5a113fd0</t>
  </si>
  <si>
    <t>yuliya_kutovaya_jewelry</t>
  </si>
  <si>
    <t>фирму открывать не сложно, но что бы от этой массы дел де съехать с катушек нужно держать личный ресурс в норме</t>
  </si>
  <si>
    <t>e29bf2ad0eaae41af5a64c15c947d502</t>
  </si>
  <si>
    <t>melancholium15</t>
  </si>
  <si>
    <t>Мне становится тесно на моей работе, мысли какие-то появились, что я вот джедай, а вокруг не джедаи, а я бы хотела работать с джедаями, неприятные мысли, тревожные.</t>
  </si>
  <si>
    <t>86a92045236168340b55edfbc278ca63</t>
  </si>
  <si>
    <t>Того, что нет в почасовом плане — не будет и по факту</t>
  </si>
  <si>
    <t>e45b3743c712a00cb6f82a93cc4d0a0d</t>
  </si>
  <si>
    <t>iri_korobova</t>
  </si>
  <si>
    <t>Начинать спринт с отпуска - самое правильное междуспринтье !</t>
  </si>
  <si>
    <t>679e96a9c070bd83ced54f9c384e6ee3</t>
  </si>
  <si>
    <t>Повторение практик джедайства, понял что многое позабылось.</t>
  </si>
  <si>
    <t>2b650126ba82e4b91d2bf1612d05979d</t>
  </si>
  <si>
    <t>c6c217d420af2f16832d5691b5397121</t>
  </si>
  <si>
    <t>6cc0d2395a039a722d3f2461579e274a</t>
  </si>
  <si>
    <t>MadRedFox</t>
  </si>
  <si>
    <t>Даже если неделя была долгой, жаркой и не слегка долбанутой, то она не лишена прогресса по задачам.</t>
  </si>
  <si>
    <t>eacf83a8c3575a60d90dd38370f749ae</t>
  </si>
  <si>
    <t>tanjahomiakova</t>
  </si>
  <si>
    <t>Из 14 интересных проектов я оставила понятные.</t>
  </si>
  <si>
    <t>Разбор проектов с Катей мне очень помог разобрать свои хотелки и записать их в форме применимой для выполнения. 
Жаль, что дальше в спринте они не повторяются.</t>
  </si>
  <si>
    <t>f3f0ed926431a3b0857b917e7629340c</t>
  </si>
  <si>
    <t>Активное занятие вопросами быта в моем случае сигнализируют об активной прокрастинации чего-то важного</t>
  </si>
  <si>
    <t>17c81bbb887a1b9a86655452d91d6c97</t>
  </si>
  <si>
    <t>zhekavii</t>
  </si>
  <si>
    <t>Чуток переутомился и загонял себя во время подготовительной недели, из-за этого спал беспокойно и с пробуждениями в 5 утра. Повысилось беспокойство и поэтому начали сами собой всплывать мысли, вроде: "Я не успеваю, ааа, нужно больше фигачить" или " Ааа, у меня ничего не получится". Но к концу недели стал больше вкладываться в расслабление и тревога отступила, спать стал лучше, шум в голове рассеивается.</t>
  </si>
  <si>
    <t>Успехов Максиму Дорофееву в допиливании новой книги. Приложенька - огонь, зелёные заголовки и чекбоксы отлично смотрятся на темном фоне. Отдельное спасибо Катерине Проничевой за проведение коворкингов.</t>
  </si>
  <si>
    <t>ca5d42d6c813ad511636edc3c56e69b8</t>
  </si>
  <si>
    <t>Сложно ориентироваться по бюджету времени на курс.</t>
  </si>
  <si>
    <t>c69571c555f91eee467249f3c0baff57</t>
  </si>
  <si>
    <t>Моя внутренняя обезьянка - это не абстрактная "мартышка", это тоже я.
И я стараюсь не для "обезьянки", а для себя. 
Поэтому для модели Тима Урбана я разработал свой "скин" или "мод". Рациональный тип Григорий и его помощник Гришка. Важно портретное сходство со мной, чтобы увидеть в себе обезьянку.</t>
  </si>
  <si>
    <t>Хорошо работаете, молодцы :)</t>
  </si>
  <si>
    <t>94665aec3119302ffab4876f23ddebfb</t>
  </si>
  <si>
    <t>Ничего не успеваю. С этим устройством на работу не нашёл времени на ДЗ по джедайским техникам. Успеваю только выживать.</t>
  </si>
  <si>
    <t>eafc605f06a510da2819e0828c7e1a5f</t>
  </si>
  <si>
    <t>217d3cc7d8cc2c940d1c45eb0e9949c9</t>
  </si>
  <si>
    <t>4e25039c1a90bbcf75b6a9d9a1b5c878</t>
  </si>
  <si>
    <t>9fb99eb3a276bd3e2ac4fb901fa1540d</t>
  </si>
  <si>
    <t>Совместные выходы - это классно</t>
  </si>
  <si>
    <t>Жалко, что-то спринте нет рабочей тетради как в старте. Или есть, а я не нашла?</t>
  </si>
  <si>
    <t>7f28ee183e9daa2edf124f77704bd769</t>
  </si>
  <si>
    <t>Обратила внимание на свои проекты, отодвинув в сторону всё горящее-якобыважное-срочное. Благодаря этому сделала несколько действительно важных лично для меня задачек, которые давно откладывала</t>
  </si>
  <si>
    <t>На этой неделе не поняла практику про разгрузку памяти крючками. Её цель - в том, чтобы выцепить что-то возможно забытое? Мне она далась тяжело - я выписала ооочень много задач (а я как раз стараюсь наоборот сократить свои списки задач, тк из-за тревожности и требовательности к себе они необъятные), остановилась на половине круга и решила закончить (исписала уже лист А4 к этому моменту и словила фрустрацию и ощущение бессилия)</t>
  </si>
  <si>
    <t>b710fed976fca78920ab67764c34d6c5</t>
  </si>
  <si>
    <t>MaryBurl</t>
  </si>
  <si>
    <t>559ba71336edb718fa83009839dac31a</t>
  </si>
  <si>
    <t>Надо отдыхать.
Систематичность важнее количества</t>
  </si>
  <si>
    <t>d6f354c30f250c606ccfd785893ac833</t>
  </si>
  <si>
    <t>Хотелось бы больше обратной связи и вовлечённости: как от организаторов спринта, так и от участников.</t>
  </si>
  <si>
    <t>0831ea8439eddff61f90b78c967b9bfe</t>
  </si>
  <si>
    <t>am_kiri</t>
  </si>
  <si>
    <t>Поняла, что мне срочно нужен отпуск и попробовала его выбить.</t>
  </si>
  <si>
    <t>❤️</t>
  </si>
  <si>
    <t>167dcb2bc1063df8c9e2cc977f273a30</t>
  </si>
  <si>
    <t>tamaramayn</t>
  </si>
  <si>
    <t>Лучше меньше, но делать хоть что-то, что ведёт к цели или ощущению полноты жизни</t>
  </si>
  <si>
    <t>Потеряла программу минимум, хотелось бы в боте кнопочку "программа минимум"</t>
  </si>
  <si>
    <t>3607ed8ac9d31e5df7f43577331ddbab</t>
  </si>
  <si>
    <t>74540e59a701d089b194a81ee1d32a54</t>
  </si>
  <si>
    <t>dzimarin</t>
  </si>
  <si>
    <t>23cbaec3adf3f493b40a9158750e0c4b</t>
  </si>
  <si>
    <t>Чтобы хорошо погружаться под воду, нужно хорошее подходящее оборудование.</t>
  </si>
  <si>
    <t>d60ce251b1b35e6357d1691f68c6f12a</t>
  </si>
  <si>
    <t>Что к идеям можно тоже заводить задачи на приближение понимания - будешь ли ты это делать или нет.
Про то, что тревожность - это про потерю контроля и его приобретение в каких-то базовых вещах позволяет тебе чувствовать себя лучше</t>
  </si>
  <si>
    <t>9f378aee6d11364988e1c909cfe302fc</t>
  </si>
  <si>
    <t>c4bc086c97bd4e25ee9341abc431f61d</t>
  </si>
  <si>
    <t>Нужно выделять время на отдых и на подумать</t>
  </si>
  <si>
    <t>Хорошие практики и большая структурированная база информации 🙏</t>
  </si>
  <si>
    <t>8f3523edcf22df66de39c378440daae5</t>
  </si>
  <si>
    <t>Идеи проекты  и задачи:
* главное - вытащить/сформулировать первые шаги чтобы начать
* не всё то задачи, что идеи. Раньше идеи заносил в задачи
* как двигать проект - отщипывать по 1-2 следующих шага в виде задач
* спусковые крючки: задачи в голове уже есть. Лучше вытащить на бумагу</t>
  </si>
  <si>
    <t>cc5a5e46248a3fbcc8fc5ecc4724ac8c</t>
  </si>
  <si>
    <t>magiya_1c</t>
  </si>
  <si>
    <t>398a28ce65372cf389ac183144beb29f</t>
  </si>
  <si>
    <t>albaldov</t>
  </si>
  <si>
    <t>Нет ничего важнее жизни</t>
  </si>
  <si>
    <t>Нет</t>
  </si>
  <si>
    <t>33ec8dc792cf1d904b927d4d39100ca2</t>
  </si>
  <si>
    <t>ilyafedorchenko</t>
  </si>
  <si>
    <t>Чтобы ремонтировать дом, надо сначала проверить и поправить фундамент.</t>
  </si>
  <si>
    <t>Отличная методика! Всё 3 столпа задействованы, даёте достаточно времени на восприятие, осмысление и практику</t>
  </si>
  <si>
    <t>e63bb3aa16ba605499fe97969c928bcf</t>
  </si>
  <si>
    <t>Главный инсайт - что можно начать, обозначив пару первых шагов. Личные проекты годами буксовали из-за нехватки мыслетоплива для того, чтобы расписать их полностью. 
Очень нравится holst, сортировка задач и спусковые крючки. Мне важно иметь возможность видеть общую картину, поэтому holst как исходный инструмент для выгрузки, анализа, сортировки и распределения в планировщик - наконец-то то, что нужно!</t>
  </si>
  <si>
    <t>Спасибо❤️</t>
  </si>
  <si>
    <t>ff9bed18a9193168a80dd32ff4bd2ec2</t>
  </si>
  <si>
    <t>Elena_Sentemova</t>
  </si>
  <si>
    <t>Еще есть силы двигаться в том же направлении</t>
  </si>
  <si>
    <t>d14c3d4209e9228d7a5d0c52572e917c</t>
  </si>
  <si>
    <t>гораздо проще быть хорошим (мужем, отцом, сотрудником) когда внешние обстоятельства в среднем стабильны.
куда ценнее быть примерно таким же хорошим, когда вокруг задница</t>
  </si>
  <si>
    <t>b0bcfce035737b75c9181e8faccade47</t>
  </si>
  <si>
    <t>Главное, что даже выполнив свои планы на 100% в денб, итоговая удовлетворенность может зависеть от отношений с близкими. Поругался с женой, но выполнил планы = не факт, что день кайф. А еще когда мало сил, возможно на выходных стоит посылать все дела нах... и просто восстанавливаться</t>
  </si>
  <si>
    <t>Было бы круто, если бы 12 НГ копил базы примеров, например: Список вариантов отдыха. Так было бы проще открыл список из 100 позиций, выбрал 5 для себя и потестил. Т.к. аудитория осознанная, особенная, сильно выделяется от обычной уличной, короче все плюс минус на одной волне.</t>
  </si>
  <si>
    <t>02fd6e4694aed4140672389d3d6acd20</t>
  </si>
  <si>
    <t>Записывать в планировщик мысли как идеи и задачи сразу же, как они возникли в голове, чтобы не носить и не тратить на это энергию. Пока получается</t>
  </si>
  <si>
    <t>94c1187cfd2a9870d42d60d04264cc92</t>
  </si>
  <si>
    <t>8dfcebb80a08242109d03e2ef4e3ce1d</t>
  </si>
  <si>
    <t>Медитации работают)</t>
  </si>
  <si>
    <t>f3b76911f2e859a0a852bc2045124ec3</t>
  </si>
  <si>
    <t>Мне над собой еще работать и работать. Надо уходить от безрезультатного накопительства пустых знаний к прочному и постепенному применению их на практике.</t>
  </si>
  <si>
    <t>🤍🤍🤍</t>
  </si>
  <si>
    <t>97faff845a7dfb17327179e7afc9b8f0</t>
  </si>
  <si>
    <t>alexandrettio_chats</t>
  </si>
  <si>
    <t>Я ещё жива)</t>
  </si>
  <si>
    <t>3de7557760160143369ed30329ffb1e4</t>
  </si>
  <si>
    <t>Не надо планировать поездки выходного дня на каждые выходные. Мне нужно оставлять себе время насладиться впечатлениями от поездки ДОМА.</t>
  </si>
  <si>
    <t>cdb43faaa83bbc9d3f60fc267bccf88c</t>
  </si>
  <si>
    <t>chistyakovyo</t>
  </si>
  <si>
    <t>d3115717c3e52fe4baa6fe7879c36102</t>
  </si>
  <si>
    <t>Система оценки, базис и корректировка масштаба.
Люди часто обесценивают то, что имеют, считая это само собой разумеющимся.
Я жив и это уже много. Жизнь безусловно наибольшая ценность, без нее все остальное теряет смысл. Она служит базисом, точкой отсчета, от которой идет оценка всего остального.
Оценка идет от базиса вверх, то что есть уже ценно, а не вниз, чего не хватает. Все остальное возможный бонус, каждый слой не само собой разумеющееся, а дополнительная ценность. Базис становится якорем, источником удовлетворения и благодарности.
Когда что-то в моменте захватывает, проблема, тревога, неудача, конфликт, кажется огромным и сверхважным. Возврат к базису позволяет скорректировать масштаб: на фоне того что я жив, насколько это на самом деле значимо?
Не обесценивание, это не важно, а корректировка масштаба. Большинство вещей, которые кажутся критически важными в моменте, на деле оказываются малозначимыми временными обстоятельствами.</t>
  </si>
  <si>
    <t>1f1fa46ecbc35a87e059089690f46d6e</t>
  </si>
  <si>
    <t>28d07ad097414b1fb3620945c533aa9c</t>
  </si>
  <si>
    <t>sAnastasia</t>
  </si>
  <si>
    <t>fe045a1cddeb7ba75cd6e52924a39746</t>
  </si>
  <si>
    <t>надо авторизовать все что сделал за неделю - тогда понятно, почему  проекты не делал</t>
  </si>
  <si>
    <t>2c6c7bfc6948197f171e60c8e64e7101</t>
  </si>
  <si>
    <t>списки задач для обезьянки</t>
  </si>
  <si>
    <t>6af10c69e7e1bf5c13ba6cbd0912a5bb</t>
  </si>
  <si>
    <t>92cf6568749d0d43bb2c223964f6d4e3</t>
  </si>
  <si>
    <t>3e29ba8411fe73f0d1d2c7aa8fb0d875</t>
  </si>
  <si>
    <t>zea_audit</t>
  </si>
  <si>
    <t>Утренняя прогулка до завтрака и перерыв днём на "ничего" сохраняют моё нормальное состояние до  вечера даже в самый загруженный день. Для меня важнее отдохнуть ДО нагрузки, и тогда больше вероятность, что после не придётся "лечиться"</t>
  </si>
  <si>
    <t>bba519c85d9efbf2bc8f865a42790568</t>
  </si>
  <si>
    <t>Aezolotarev</t>
  </si>
  <si>
    <t>4d841e95326447953019a5e4ca52eb55</t>
  </si>
  <si>
    <t>mikhailsavchuk</t>
  </si>
  <si>
    <t>Не надо слушать крикливых людей.</t>
  </si>
  <si>
    <t>5e6ddb9533498f6d9dd0aa63f5700edb</t>
  </si>
  <si>
    <t>Понял наконец что такое проекты и чем они отличаются от задач</t>
  </si>
  <si>
    <t>61ac6856e23c88380f0b01d8770febcc</t>
  </si>
  <si>
    <t>mityshumniy</t>
  </si>
  <si>
    <t>494a363f106b48a27e298515c1db3738</t>
  </si>
  <si>
    <t>bfe3ad49b737c1d14b1eff99a86182f4</t>
  </si>
  <si>
    <t>53bf4d4b3e1fb0544dd3a34ab713b90a</t>
  </si>
  <si>
    <t>f70ab644a4a82d9c00e4b17f04a44de5</t>
  </si>
  <si>
    <t>d1c9842b20c2331c4e54d303b654cd04</t>
  </si>
  <si>
    <t>65f51e248379f68dab622a6a6d583dc0</t>
  </si>
  <si>
    <t>b99e6fc867390f4c11324d1b386122dc</t>
  </si>
  <si>
    <t>5a8ce705f266821c128cd002f88dbbb1</t>
  </si>
  <si>
    <t>00d45912d84ac6cc94d3e806ee5b7814</t>
  </si>
  <si>
    <t>lady_ezzick</t>
  </si>
  <si>
    <t>f72e6da8320352376b96d62d9e0f3afb</t>
  </si>
  <si>
    <t>Активностей и обратной связи в точение недели становится всё меньше и меньше. 😞</t>
  </si>
  <si>
    <t>b697b2be2788c88f9eae2ce6341200a9</t>
  </si>
  <si>
    <t>Сенсорная чувствительность отстой, устаешь от отдыха) медитации рулят :)</t>
  </si>
  <si>
    <t>86334f588716175f6a65af0ef30c47c5</t>
  </si>
  <si>
    <t>Тренировалась вовремя переключаться с тех задач, по которым все сделала и дальше нужно просто дать событиям развернуться</t>
  </si>
  <si>
    <t>ebf4d4b334b63142ce2fa20edeaaaad6</t>
  </si>
  <si>
    <t>Чтобы что-то менять в своей жизни нужно иметь для этого ресурс, а для меня сейчас это значит высыпаться</t>
  </si>
  <si>
    <t>521ee91b3f6a7912fc4e8bf33c530a38</t>
  </si>
  <si>
    <t>Иногда можно проснуться утром уже обезьянкой.</t>
  </si>
  <si>
    <t>252401e0088827d55075a2c345708ec0</t>
  </si>
  <si>
    <t>4a91e7c9f27f9dead0cf22ac9da9ffd1</t>
  </si>
  <si>
    <t>30a74e8085d94792601745ceead2a544</t>
  </si>
  <si>
    <t>Всегда иметь план Б. Я никак не научусь брать на работе адекватное количество задач на день. Они все интересные, все хочется. Но выжигают мозг к вечеру.</t>
  </si>
  <si>
    <t>Никак не пойму, почему мелкая моторика идет в начале? Мы же делаем почти такое же в первой половине страт сессии. Вроде. 
Я мелкую моторику запланировала на середину спринта себе.</t>
  </si>
  <si>
    <t>8376849580c251444d2ea8240ee2b9fa</t>
  </si>
  <si>
    <t>ec781bb1170632655f697d0cc6ded55e</t>
  </si>
  <si>
    <t>f3c78664066d5b623b4283fa2b1c6c3e</t>
  </si>
  <si>
    <t>VitalyZubentsov</t>
  </si>
  <si>
    <t>fd1a2479baf599845c7a02d2a1f92bc2</t>
  </si>
  <si>
    <t>91363727f1c5f30d02f02ec4bf6b2e92</t>
  </si>
  <si>
    <t>формулировка задач это очень важно</t>
  </si>
  <si>
    <t>все круто</t>
  </si>
  <si>
    <t>5a5071ca79cedb7c42640fdb12cd2835</t>
  </si>
  <si>
    <t>DmitryRuzanov</t>
  </si>
  <si>
    <t>b009139769087c83984b64b8fb3938e4</t>
  </si>
  <si>
    <t>Фундамент мой — это моё тело, и им надо заниматься в первую очередь, поэтому очень клёво я придумала первой зелёной задачей делать тренировку, и потом можно всё остальное, но заниматься физкультурой обязательно и без пропусков.</t>
  </si>
  <si>
    <t>919347354d245bb9ed52b55a73af6d83</t>
  </si>
  <si>
    <t>timofey_garas</t>
  </si>
  <si>
    <t>Работу с формулировками анализирующих задач. Разницу между идеями и задачами</t>
  </si>
  <si>
    <t>3e3de028c41f75b1db73c60675f1e1d7</t>
  </si>
  <si>
    <t>Прошла первая неделя отпуска с семьей, понимаю что лично мне уже нужен отдых. Снова задумался о том насколько важно уметь отдыхать маленькими отрезами времени, чтобы усталость не накапливалась.</t>
  </si>
  <si>
    <t>edb1ac52898455531614cb88594dc65e</t>
  </si>
  <si>
    <t>Пролетела, незаметно. Не успеваю делать домашние задания</t>
  </si>
  <si>
    <t>b043a9e8b94901bf893b56ed990baede</t>
  </si>
  <si>
    <t>жахать мелатонин может быть хорошим костылем</t>
  </si>
  <si>
    <t>520a2a15646db6203c4a54933de80e38</t>
  </si>
  <si>
    <t>b8b86d9094f64f3924389dd0b9a282e6</t>
  </si>
  <si>
    <t>Если я много запланировал, я не сделаю больше.
Я просто буду тревожиться, что не выполнил запланированное.
Мысли о крупных задачах - часто просто мысли. Когда я задумываюсь о долгосроках, висящих надо мной дамокловым мечом, я часто говорю себе "нелогично браться за какую-то мелочевку, когда не решены крупные проблемы". В итоге целыми часами по вечерам не делаю ни то, ни то, а залипаю в просмотре видео.</t>
  </si>
  <si>
    <t>Опрос еженедельный, а шкала - про прошедший месяц:
"В течение прошедшего месяца как часто Вы…"</t>
  </si>
  <si>
    <t>c91aa3da73cc925888273fc0876ab745</t>
  </si>
  <si>
    <t>На половине недели заболела :(((</t>
  </si>
  <si>
    <t>12de95530b0c17bcf56a0b5457601801</t>
  </si>
  <si>
    <t>0e43b27f7a4a149cc5d461db3ea176d0</t>
  </si>
  <si>
    <t>b4a394c13d46b57c4a84cc41180fc206</t>
  </si>
  <si>
    <t>c3d39db41fad2e1784548081c8956b87</t>
  </si>
  <si>
    <t>5e2c7fdb1fb2b2ad2bd9ba667191da28</t>
  </si>
  <si>
    <t>181585338f7cfb43026a97931746751a</t>
  </si>
  <si>
    <t>2f92ad420a81270dc8beebc0d7b56ca6</t>
  </si>
  <si>
    <t>leontevaz</t>
  </si>
  <si>
    <t>a96cd2a37540a6b0894e2764c47f4e9c</t>
  </si>
  <si>
    <t>ямолодец работает</t>
  </si>
  <si>
    <t>6c8c84c414e683f6a07c866829ad3e9e</t>
  </si>
  <si>
    <t>В среду с мужем отправились в дорогу, вечером были на месте, в деревне у родителей мужа. Время здесь идет медленнее, в телефон заглядывать почти не хочется. И не тянет залипать в новостях и комментах. Даже если интернет есть.
А дома почему-то в любой ситуации хочется залезть в телефон, зайти в телеграм, полазить в Озон, и можешь просидеть больше часа за раз. Здесь такого нет, само исчезло.
Телефон, кстати, лежит всегда в другой комнате, но хотя все равно не тянет к нему, когда там нахожусь или готовлюсь там спать. Перед сном и утром в телефоне смотрю только время.</t>
  </si>
  <si>
    <t>db6c5df57397195a98cc5954e2182305</t>
  </si>
  <si>
    <t>Сила обратной связи.
Ожидание -реальность</t>
  </si>
  <si>
    <t>8b9b766fc6268c374bd2afb67913ba78</t>
  </si>
  <si>
    <t>Утро - наиболее продуктивная часть дня у меня, осталось сместить задачи важные на время до обеда...</t>
  </si>
  <si>
    <t>Вы - молодцы, большое спасибо за пользу!!!</t>
  </si>
  <si>
    <t>22ce3b6cc262d95bc6adf9f5aea25773</t>
  </si>
  <si>
    <t>Я сходила на практику сложных проектов, потому что у меня было сопротивление на сортировку и протирание полок в шкафах. Но пройдя практику, довольно быстро поняла, что проект не сложный, а длинный и имеется желание все сделать за раз, но это как нельзя начать и закончить вязать свитер за день, так же и протирание с перебиранием. Вот при вязании имеется руководство по вязанию, такая инструкция, где отмечаешь сделанное. Вот и для полок я сделала такую инструкцию и можно отмечать сделанное. Пока я сделала 3 из 40 полок, но мне важен процесс.</t>
  </si>
  <si>
    <t>79d1b64fb785d458f2db9d2e226474c8</t>
  </si>
  <si>
    <t>8346a2afb68452d5df3aadd33d15121a</t>
  </si>
  <si>
    <t>4a473c3c5f34f732b7e8b813e7101224</t>
  </si>
  <si>
    <t>bbe744729a913a7457e96d69cd6938f3</t>
  </si>
  <si>
    <t>Оказывается если обратить внимание на эмоцию удивление она повсюду)</t>
  </si>
  <si>
    <t>5735d9abc3a5be5ca7bca27b0e66591f</t>
  </si>
  <si>
    <t>b60b437649a87e0ffb9106186c282b9c</t>
  </si>
  <si>
    <t>Иногда проблема не в том, что кажется изначально</t>
  </si>
  <si>
    <t>d0d740d8dd247c27b2f1d74cb0e7eb63</t>
  </si>
  <si>
    <t>Иногда обстоятельства сильнее нас. И приходится плыть по течению</t>
  </si>
  <si>
    <t>Большое спасибо за курс! Прохожу с интересом каждый день</t>
  </si>
  <si>
    <t>4e2fb749fa0eb0f710941104fa11ff18</t>
  </si>
  <si>
    <t>не все этапы жопы вокруг достигнуты</t>
  </si>
  <si>
    <t>спасибо, гораздо сложнее становится уезжать кукушечкой (да и контролируемо, кстати) с Джедайскими практиками</t>
  </si>
  <si>
    <t>a631560c335c4f98318fcfbe2b971804</t>
  </si>
  <si>
    <t>1d23aa8360117d3015a5bbb601a33d70</t>
  </si>
  <si>
    <t>Иногда чтобы получить результат, нужно переделать сопровождение процесса не связанное с результатом</t>
  </si>
  <si>
    <t>8316fc9be12d15b2c136c8d939c6c1bf</t>
  </si>
  <si>
    <t>2b6866641c474f7298410b99509b7bd3</t>
  </si>
  <si>
    <t>79556686f6914ea3d2fc2b6076f6c200</t>
  </si>
  <si>
    <t>Наконец-то часы перестали меня ругать за неконсистентный и недостаточный сон, а больше хвалить. Я взял цель по внедрению привычки вовремя ложиться.
А вот с задачами, делами и проектами сложнее, начало недели было бодрое, но с середины начались переносы запланированных задач и они стали накапливаться к концу недели. Мне это не понравилось.</t>
  </si>
  <si>
    <t>eb6582ba053afccbb1c5758f5d1af98b</t>
  </si>
  <si>
    <t>d9af37d8b51a9b2c7710cce88bceea3f</t>
  </si>
  <si>
    <t>Nasya_viki</t>
  </si>
  <si>
    <t>не все зависит от меня, нужно иногда принять что я не могу контролировать процессы</t>
  </si>
  <si>
    <t>872d780ef3b7d3192913e07414a1c37b</t>
  </si>
  <si>
    <t>ff18201e890cbeffbcf630d6e56be4c8</t>
  </si>
  <si>
    <t>MrDobriyKot</t>
  </si>
  <si>
    <t>1e6bed9036978d15bb7b396544a1b4aa</t>
  </si>
  <si>
    <t>Возможно еще не всё потеряно и выходы всё же есть</t>
  </si>
  <si>
    <t>7bde94dd5d8858ab41e8ec4639faf6fd</t>
  </si>
  <si>
    <t>5056f237311e6c3388c0bac8e8f33f9b</t>
  </si>
  <si>
    <t>55c108ed45c15308cba864a09a94df98</t>
  </si>
  <si>
    <t>Опять и снова: Из важного и срочного выбирается понятное. Нужно обязательно время на правильные формулировки.
Гигиена формулировки (задач/привычек/минимальных версий) - необходимый минимум</t>
  </si>
  <si>
    <t>3c71310b6671135a0edadbe7acdb2304</t>
  </si>
  <si>
    <t>7b4b5f6fa0228fdebf260ff3ef52a20e</t>
  </si>
  <si>
    <t>Rashit_Khamidullin</t>
  </si>
  <si>
    <t>Обзор списка идей\проектов\задач реально работает и помогает меньше прокрастинировать</t>
  </si>
  <si>
    <t>c7f24bdfeccd4a426cb14b00c3b03268</t>
  </si>
  <si>
    <t>надо больше общаться с разными людьми умными. расширять границы своей картины мира</t>
  </si>
  <si>
    <t>ac6802161e740c4e660750ea4372a782</t>
  </si>
  <si>
    <t>7f336ccc71d0edda4e3287da74b29435</t>
  </si>
  <si>
    <t>Техника "Обезважнивания", с которой я познакомился в книге Павла Зыгмантовича "Черная психология", действительно рабочая штука. В результате стал меньше цепляться за автоматические мысли. Продолжаю проект с этим упражнением.</t>
  </si>
  <si>
    <t>d466c125398d5d34a09f9aeba0714c83</t>
  </si>
  <si>
    <t>Среда обитания очень большая система, которую я не могу изменить и буду стремиться к равновесию с этой средой. Если мне нравится каким я становлюсь, то единственный вариант сменить среду обитания. И как вывод: одной силой воли привычку не изменить, необходимо создать среду обитания в которой привычка будет расти</t>
  </si>
  <si>
    <t>6daa9730d16da6a96571b94c1783d32c</t>
  </si>
  <si>
    <t>Чувство когда так и тянет сделать таску из тудушки</t>
  </si>
  <si>
    <t>6c0725bc7905fe727731ceac35eee4ed</t>
  </si>
  <si>
    <t>Что даже люди из другой сферы и вообще незнакомые могут дарить классные инсайты</t>
  </si>
  <si>
    <t>be7c60980dd1e934a174075c0be5b6e9</t>
  </si>
  <si>
    <t>что утренние ежедневные рутины превыше всего, если профукал уже потом врятли получиться наверстать</t>
  </si>
  <si>
    <t>1de7d28071dfaead2d313839a77cde52</t>
  </si>
  <si>
    <t>Зеленое или красное зависит от твоих целей, например, на квартал. И что было зеленым вчера, таковым сейчас может не являтся</t>
  </si>
  <si>
    <t>55fe76da6a0246f4f03f88d591e19865</t>
  </si>
  <si>
    <t>9d1d26c672f2d757c6c931e5291f9eb2</t>
  </si>
  <si>
    <t>99bdcefd01df3aca7be9a2ac6dbf0369</t>
  </si>
  <si>
    <t>0fbe86cdea28c0eb829bfd9b07492397</t>
  </si>
  <si>
    <t>7a05bf0372c2c7bd0934cbe125d30fcc</t>
  </si>
  <si>
    <t>Timurserov78</t>
  </si>
  <si>
    <t>Что цель не всегда бывает явной.</t>
  </si>
  <si>
    <t>Пока я не успеваю за Вами. Часто тренинги и коворкинги пересекаются с моими производственными совещаниями.</t>
  </si>
  <si>
    <t>6ba7b1a32731e0cb52fd819828679ec9</t>
  </si>
  <si>
    <t>e044382774b77618fcaca49d60aabe4a</t>
  </si>
  <si>
    <t>Все начинается с наблюдения, хочешь понять что происходит, начни наблюдать и описывать действительное положение дел, честно, без прикрас и оценок.</t>
  </si>
  <si>
    <t>c0da10ec92061d8ca625dcc54fc8c05e</t>
  </si>
  <si>
    <t>griashiro</t>
  </si>
  <si>
    <t>65d34eba2bc4624b4b0ba6cf4ecf08a0</t>
  </si>
  <si>
    <t>Привет! 
Главный инсайт - обозначить минимальный объём, идущий в зачёт внедрению привычки = спасти это самое внедрение от провала и бесконечных начинаний с начала.</t>
  </si>
  <si>
    <t>Я конечно заполняю опросы, вижу какой-никакой прогресс, но на самом деле мой нынешний режим существования - лайтовый по сравнению с учебным годом, когда я трачу до 17ч в неделю на извоз ребёнка, а в промежутках работаю. Поэтому это всё сейчас немного понарошку:)</t>
  </si>
  <si>
    <t>54527365426283078a6298c553fb9eaf</t>
  </si>
  <si>
    <t>syberbatman</t>
  </si>
  <si>
    <t>Понял что источником тревоги была безумное количество задач которые я пытался одновременно держать в голове и делать. После выгрузки стало лучше.</t>
  </si>
  <si>
    <t>50dcde30808d8d0a606c3b2287e47e37</t>
  </si>
  <si>
    <t>488770fe29cfc836fae67a9b2cd5478f</t>
  </si>
  <si>
    <t>a1d30328ec7b626d20425105e4076c9c</t>
  </si>
  <si>
    <t>acac40bfaa2dc2ce277d15479f484b2a</t>
  </si>
  <si>
    <t>tasch</t>
  </si>
  <si>
    <t>Когда я на отдыхе, как сейчас, то отдых - это цель, а работа по остаточному принципу. Раньше было наоборот.</t>
  </si>
  <si>
    <t>В шкале</t>
  </si>
  <si>
    <t>b568441d47d3e0c90541162917308abb</t>
  </si>
  <si>
    <t>1cf32b0341050fd39f1bfe3bcc653dbf</t>
  </si>
  <si>
    <t>f4077bdb1e816cdf1ff6259c9a39f069</t>
  </si>
  <si>
    <t>71f665b7955172eb30b650932871cbd2</t>
  </si>
  <si>
    <t>ea6db34d44eb8ef3b3c0939e05499625</t>
  </si>
  <si>
    <t>smexnov</t>
  </si>
  <si>
    <t>3a3da6d39e626a98b6e6ed7afb972edf</t>
  </si>
  <si>
    <t>dariyns</t>
  </si>
  <si>
    <t>нужно записывать все, что в голове, даже самое мелкое, иначе все забывается. И слона надо есть по-кусочкам</t>
  </si>
  <si>
    <t>Вы ребята делаете масштабную работу! вы реально классные!!!!! 
Но для меня пока очень тяжело: очень много информации для чтения и для работы в разных источниках; очень сильно путаюсь, теряю где и что было, что нужно и где сделать, из-за этого прокрастинирую )))))   
НО! наверное, по-другому и не может быть, так как вы выдаете максимум информации и практики для нас! и Это ЦЕННО. но все же, лично мне тяжко прям.</t>
  </si>
  <si>
    <t>e7a7dd23bbc11f90533b502f30c6c5c9</t>
  </si>
  <si>
    <t>dymonix</t>
  </si>
  <si>
    <t>cbdf3920f781d7530fee2f60a6db0433</t>
  </si>
  <si>
    <t>Отдыхать, развлекать и общать себя с живыми человеками - делает меня довольным жизнью, и целом счастливее.
Фундамент и кайфы стоит продолжить ставить в фокус.</t>
  </si>
  <si>
    <t>Трудно перестраивать себя, но здорово, что джедаи на опыте говорят о таких вещах например, как то что важно избавляться от старой модели поведения, где упарывание ради упарывания, работа ради работы, достижения ради достижений, и отдыхать, развлекать, заботить и любить себя через действия.
Личный пример - лучшее, что работает.
И здорово что можно копипастить этот пример у лучших!
А когда они ещё и успешные оказывается, что не только отдыхают, заботят и любят себя, но и задачки вагонами ежедневно отгружают - вопросов не возникает, полезные ли они советы\рекомендации дают.</t>
  </si>
  <si>
    <t>d2cb8fa3fc238b761e61381769a16a2c</t>
  </si>
  <si>
    <t>6252f9be2bafd66687fcc9d0168fd6d0</t>
  </si>
  <si>
    <t>Наконец-то пошёл прогресс после строгого посыла в далёкое путешествие руководящего состава.</t>
  </si>
  <si>
    <t>Вы милаши, хоть опрос я и с опозданием прошёл</t>
  </si>
  <si>
    <t>3088b162be96299d9256d57ce340610e</t>
  </si>
  <si>
    <t>от самых важных для меня тем в курсе я прячусь за горами работы.
Так было на неделе 0 - отдых.
Так было на неделе 2 - привычки.
Там, где мне больше всего надо поработать в рамках курса, я больше всего сопротивляюсь.</t>
  </si>
  <si>
    <t>a0dd429601b720e4cd210db9d7bb7097</t>
  </si>
  <si>
    <t>49c5a44198d9ed656ccb65a95b464bb4</t>
  </si>
  <si>
    <t>320e9d294c2cbf2871c95750c4deec09</t>
  </si>
  <si>
    <t>f2d449d89fa4eb4b6064a22888e66e52</t>
  </si>
  <si>
    <t>9dd592eaf9c73e89a95d98a5a80d7333</t>
  </si>
  <si>
    <t>22c5468b1bdc0ee84319bfcee2de518c</t>
  </si>
  <si>
    <t>Занимался важными вещами, намного больше чем раньше, были ценные практики, самое ценное - то, что получилось сделать, то что давно откладывал…</t>
  </si>
  <si>
    <t>Максиму спасибо</t>
  </si>
  <si>
    <t>b9bbe791e6a49a534fca27ee69078a9b</t>
  </si>
  <si>
    <t>Складывать на сегодня минимальный список задач, которые вот прямо критически сделать сегодня</t>
  </si>
  <si>
    <t>5fe5786aa4d111853354b33c59c50631</t>
  </si>
  <si>
    <t>Система ведения задач начала работать</t>
  </si>
  <si>
    <t>8c4a909ef8a1a4f3022e67f63cc03a17</t>
  </si>
  <si>
    <t>Тебе нужны пространство для уединения</t>
  </si>
  <si>
    <t>692db54939b09659f2b6ada915c05d7d</t>
  </si>
  <si>
    <t>AlisaBay</t>
  </si>
  <si>
    <t>ae43eb498fa0801c2dc3f60794371ec0</t>
  </si>
  <si>
    <t>f309fb3da666628e3de61be5f2ce256c</t>
  </si>
  <si>
    <t>a18b0e82a18a80a29b1367726cbd0dc6</t>
  </si>
  <si>
    <t>f252d6298568eb93dddf10d254b06083</t>
  </si>
  <si>
    <t>397d2fdb53cf430db75c44d422a22e46</t>
  </si>
  <si>
    <t>010211528ea23fc309ccd54e946e2db3</t>
  </si>
  <si>
    <t>63975e88e99d43bdc8826c141e900cbb</t>
  </si>
  <si>
    <t>02be0e849fb89d6601e58d13b3cb6ca3</t>
  </si>
  <si>
    <t>8e43b7ddcc30937fe51885c6d785287c</t>
  </si>
  <si>
    <t>35b497ae2c18af88c1f539c26ffee88a</t>
  </si>
  <si>
    <t>надо отдыхать не только мозгу, но и плечам-спине</t>
  </si>
  <si>
    <t>1b09616c64426a5041e96123d547a436</t>
  </si>
  <si>
    <t>53e52019f6c365dad965ae5910763ed5</t>
  </si>
  <si>
    <t>Если задача записана так, что в ней указано, с каких действий я начну ее делать и прямо в задаче написано, сколько времени на нее я уделяю (обычно записывала 20 мин), за задачу намного легче взяться.
Например, ежедневная задача "Переписывать расходы и доходы из блокнота мужа в приложение MoneyManager в течении 20 мин". По истечении 20 минут закрываю приложение и убираю блокнот, даже если есть желание залипнуть в это дело. Продолжу запись завтра, или выделю сегодня вечером 20 мин, если будет желание. Когда все записи перепишу, нужно будет поменять "в теченит 20 минут" на "в течении 5 минут". 
Раньше задача звучала "Записать бюджет", и я игнорировала ее.</t>
  </si>
  <si>
    <t>Спасибо, что вы есть🤍</t>
  </si>
  <si>
    <t>3758cdf15c46ccd9c4c71ccead7c71a4</t>
  </si>
  <si>
    <t>f8046b3f9798034174fb288469d92c75</t>
  </si>
  <si>
    <t>782555b822f39b276bd327c09a064b78</t>
  </si>
  <si>
    <t>Лупай скалу и что-нибудь получится.</t>
  </si>
  <si>
    <t>Спасибо,
в следующий спринт попробую  Джедайский старт и Спринт ))</t>
  </si>
  <si>
    <t>1a62a297017bc87e7f792f80b39539a1</t>
  </si>
  <si>
    <t>Крутое пике отдыхает.</t>
  </si>
  <si>
    <t>Спасибо</t>
  </si>
  <si>
    <t>77e05fb86d60e3248e0246de03ac6899</t>
  </si>
  <si>
    <t>f0c716f5412d71844d9489cf996d2fe1</t>
  </si>
  <si>
    <t>48b177cc91a6c6ae4b68ca3845ea1c22</t>
  </si>
  <si>
    <t>В редиске - переформулирование целей, которые выражены через ощущение в конкретные метрики (но без фанатизма)</t>
  </si>
  <si>
    <t>cb5b951d683a84f05650f8419b87e484</t>
  </si>
  <si>
    <t>7d39660385154873a5f9368fb9e59897</t>
  </si>
  <si>
    <t>8e7e6f59b4ff6d12ccee69fb1b5f1c3b</t>
  </si>
  <si>
    <t>лучше иметь плохой план на плохую ситуацию (предварительно впустив в мозг такую вероятность и сделать первое касание к рефлексирвоанию), чем не иметь оного и поймать ступор, вляпавшись в плохую ситуацию</t>
  </si>
  <si>
    <t>можно ли как-то намутить корпоративный тариф или скидку для джедаев на Холст?</t>
  </si>
  <si>
    <t>fde5c6054241af426be6c6ffdda387ac</t>
  </si>
  <si>
    <t>0e80c0df2350275e5af685246cde752e</t>
  </si>
  <si>
    <t>8e418054e536b40dfbb978d93ea69be3</t>
  </si>
  <si>
    <t>c819c0aa95b441557012c43a427d5d81</t>
  </si>
  <si>
    <t>dcfe4fe80465471064a1ac407ffc6e24</t>
  </si>
  <si>
    <t>Что часть решений принята но не реализована и это отжирает энергию</t>
  </si>
  <si>
    <t>7d90f2e26340dff67f0d7f0f20a9ef55</t>
  </si>
  <si>
    <t>2d0281131fb4afbac0a954dceea8730a</t>
  </si>
  <si>
    <t>46f0c64df896be46003186197d7e1c06</t>
  </si>
  <si>
    <t>bde6172976cd383c630a4384b11909c6</t>
  </si>
  <si>
    <t>Методы восстановления перепробовал разные. Легкий дофамин, книги, музыка. В общем главное не увязать, вроде выхожу в плюс</t>
  </si>
  <si>
    <t>d3341562fda25ad50e99067987f35053</t>
  </si>
  <si>
    <t>13f6f66d003b4337e02fea66b1c6a362</t>
  </si>
  <si>
    <t>9a1c113353e3934543b91148ca818e95</t>
  </si>
  <si>
    <t>К сожалению, главный инсайт - состояние стресса и аврала отбрасывает меня назад в "каменный век". И даже про помидорки забываю, если усталость зашкаливает. И про отдых между ними тем более. 
Хорошая новость в том, что прохождение курса помогает максимально быстро вернуться обратно в процесс:)</t>
  </si>
  <si>
    <t>2093da7371e7d30e9581e3b68476aa22</t>
  </si>
  <si>
    <t>6d38c8a6378fe043d1c92e5e19777f3f</t>
  </si>
  <si>
    <t>28e884105d28b644c430c6d7a16e6c62</t>
  </si>
  <si>
    <t>Очень тяжело "выключить" всезнайку и задавать вопросы, без попытки тут же ответить на них</t>
  </si>
  <si>
    <t>9c9f7c93e2a783938d1a3e5ce88a393b</t>
  </si>
  <si>
    <t>Если задача сырая, не готова к выполнению, заблокирована, сложная, непонятная, не ясно с чего начать — то, скорее всего, это и не задача вовсе, а идея или проект, которые нужно готовить в сосредоточенном режиме: прояснять, упрощать, нарезать, доводить до состояния "можно делать".</t>
  </si>
  <si>
    <t>4c3d6508a8352ec0e6c31426b231c96c</t>
  </si>
  <si>
    <t>Надо брать на работу взрослых и ответственных людей с которыми можно оставить работу на 2-3 дня</t>
  </si>
  <si>
    <t>eb6e6571351f5ecf9b3e34a11a95c817</t>
  </si>
  <si>
    <t>c5bf61d658479bea3143630fefb46935</t>
  </si>
  <si>
    <t>74a3f8a997ad09a995e95a9921b78e3d</t>
  </si>
  <si>
    <t>Умение делать зарядку - это физическая возможность организма, а умение делать зарядку каждый день - это уже практика духовная.</t>
  </si>
  <si>
    <t>54856619ab2bd1795061e351e5fa1ef5</t>
  </si>
  <si>
    <t>cd50c8f57940c4099065cca686876535</t>
  </si>
  <si>
    <t>Определил для проектов метрики.
План-факт круто !</t>
  </si>
  <si>
    <t>99822454425755931809d711c7bb330e</t>
  </si>
  <si>
    <t>Нужно отдыхать, полностью выходя из сложившегося образа жизни</t>
  </si>
  <si>
    <t>1dbb4b54682558d3c35a30d0d99c09fd</t>
  </si>
  <si>
    <t>Ждал окончания отпуска, т.к. поскорее хотел вернуться к привычныму графику с зелеными задачами, микро отдыху, и экспериментам</t>
  </si>
  <si>
    <t>00d54533024f3ca5d89dbad699ccd072</t>
  </si>
  <si>
    <t>0c2fb85475307a7886760d36349cd63f</t>
  </si>
  <si>
    <t>Отпуск!)</t>
  </si>
  <si>
    <t>8646744f443b92ff42ec0cfba64cab1c</t>
  </si>
  <si>
    <t>Никогда не планируй работу, пока не понял, какой результат должен получить!!!</t>
  </si>
  <si>
    <t>747b34cc2d76f479b8b21d26baf4d73e</t>
  </si>
  <si>
    <t>ba6a303eddf9b88952b6444bbab2fa53</t>
  </si>
  <si>
    <t>3e49133b70c7d95984b035f107e184ed</t>
  </si>
  <si>
    <t>Для меня очень важен старт недели: все остальные действия и даже настроение зависят от него.</t>
  </si>
  <si>
    <t>4702265063a8a814f8ff3a380aa9be6f</t>
  </si>
  <si>
    <t>57b00936615a20ed87004df8159fc764</t>
  </si>
  <si>
    <t>89ba63eb522200d143e6ceb7929cd437</t>
  </si>
  <si>
    <t>0cbf6c06b7ee17fe0547463e5901c52c</t>
  </si>
  <si>
    <t>Я могу быть "неэффективным", и не быть "плохим/не ок" от этого, я не обязан быть "достигатором", и затрахивать себя "успешным успехом" до истощения, когда "бобик сдох", и к нему нет претензий, он же сдох😅
Если я отдыхал, развлекал и общал себя с живыми человеками - я в целом счастлив, даже если из всего запланированного я не сделал почти нихрена. Пожалуй это главное достижение этого спринта, и что заметил на этой неделе.
Перестать бить себя палками и заставляя себя соответствовать картинке о себе в голове, и начать принимать себя таким какой я есть - дорогого стоит.</t>
  </si>
  <si>
    <t>Всё таки я заметил связь в глубинных изменениях психики, и нарушениями режима дня и сна. 
Кроме 2 раз за прошлый спринт(ну и до него бывало так, просто явно я увидел это именно в том спринте) так происходит уже 2й минимум раз за этот(а прошло всего 1/4 спринта🙈😅).
Что там причина, что следствие, и как они связаны - это продолжу изучать.
Но скажу что ещё один неочевидный бонус от джедайских стартов/спринтов - ускорение перестройки психики, я не припомню, чтоб такие глубинные изменения просто один за другим шли, я еле успеваю перестроить и восстановиться, как у меня бац и снова изменение мышление и поведения с перестройкой всего и вся.🙈
Хочется остановиться, пожить, и хоть немножко приблизить себя к другим целям, на которых ресурса просто не остаётся, тк перестройка психики пипец энергозатратное мероприятие.
Тут правда сразу прилетает, что "пожить" так то у меня как раз больше стало в этом спринте, он вообще весь про "пожить" получается, и проекты изначально в фокус, как основные, брались именно про "пожить".
И наверное стоит ответить на вопрос, а действительно ли нужно приближать себя к другим целям, если вечером я чаще счастлив, а с утра чаще просыпаюсь довольным...🤔
В общем вопросов снова больше чем ответов, но этот путь интересен, и эксперимент этого спринта крайне любопытен.
Долина уныния 6й недели наверное должна стать особенной отличной от прошлой - есть такое ощущение почему то.</t>
  </si>
  <si>
    <t>55d26d2b139290c689df3ddfd5208ae4</t>
  </si>
  <si>
    <t>075323e7ac8253e03e7897fe908228de</t>
  </si>
  <si>
    <t>SakovM</t>
  </si>
  <si>
    <t>Праздновал на выходных др с джедаями из старого потока, с которыми дружим. Эта поездка в москву была трансформационной. Ее надо осмыслить)</t>
  </si>
  <si>
    <t>Спасибо, что благодаря клубу я встретил этих ребят))</t>
  </si>
  <si>
    <t>acbdc46091857897a841a9f379eef9d4</t>
  </si>
  <si>
    <t>другие люди - важный источник энергии в моей жизни</t>
  </si>
  <si>
    <t>8e384201a6ddf8e62e9ee5877dcb38dc</t>
  </si>
  <si>
    <t>Надо срочно увольняться. Написала заявление, полегчало</t>
  </si>
  <si>
    <t>Не устаю благодарить за чудесный курс</t>
  </si>
  <si>
    <t>6042a9a92b49535c2c29e7fe47656119</t>
  </si>
  <si>
    <t>bb1eec4fc37c172fd48e32ccd2f746b1</t>
  </si>
  <si>
    <t>Эту неделю я пропустил, так как всё ещё смотрю одну из прошлых недель</t>
  </si>
  <si>
    <t>6feb0a0dab97b431c0e84b0fb5028cb4</t>
  </si>
  <si>
    <t>d69bfe1c4221fdba26865909df40957a</t>
  </si>
  <si>
    <t>Иногда можно сделать паузу и понаблюдать на происходящие со стороны. Хотя это на этой неделе в полном объеме это выполнить не удалось. Не смог себя уговорить. Ощущал что не дорабатываю.</t>
  </si>
  <si>
    <t>34fb9d5ea5031d5502226fd82b2d922b</t>
  </si>
  <si>
    <t>fc4856d5aa0d61dce2fa26850664f8f4</t>
  </si>
  <si>
    <t>6fc64bb034630ba79edd07497f5e752b</t>
  </si>
  <si>
    <t>Нужно не опускать руки и продолжать пробовать другие подходы. Рутина затягивает, а иногда наоборот начало отпуска становится неожиданностью которая выбивает из колеи ( перестал вести свое состояние и расходы потому что делал это по дороге на работу в транспорте).</t>
  </si>
  <si>
    <t>82022c98950b6339aeb50abc99c72cfa</t>
  </si>
  <si>
    <t>Женские циклы зло 😄</t>
  </si>
  <si>
    <t>a1049e262b47aaf10ccf348ef4787cf9</t>
  </si>
  <si>
    <t>Сложные показатели здоровья (замеры давления, разные анализы ) не так важны для здоровья, как простая примитивная тренировка.</t>
  </si>
  <si>
    <t>Спасибо за то, что вы есть. 
1. Пришла на помидорку- все пыхтят, стараются. Сразу начинаешь также пыхтеть и стараться. 
2. Читала рекомендации для понижения давления от ИИ (Kimi AI) - «уменьшите время с экранами, ложитесь спать без телефона, вставайте и до полудня не пользуйтесь телефоном». Практики Макса внедрены в новейший китайский ИИ!</t>
  </si>
  <si>
    <t>15fc811075db364c0716c092cb52749a</t>
  </si>
  <si>
    <t>866b8a32137cd6da1abe58dcfbf4adc2</t>
  </si>
  <si>
    <t>33c20976ff34c565386adcb9491076e8</t>
  </si>
  <si>
    <t>На самом деле не так и много задач крутится в голове, если их выписать</t>
  </si>
  <si>
    <t>bc461b7aa56d7638ef19d6ccbd08fb75</t>
  </si>
  <si>
    <t>35b807c403f7b9e41eb78c983e391691</t>
  </si>
  <si>
    <t>0851f61e80c2af99608e059e3919abb8</t>
  </si>
  <si>
    <t>Ещё одна такая неделя (по трудонагрузке), и я бы двинул кони.
Если бы не поддержка джедаев, я бы уже точно свалился.
А так может я и не эффективен, не во всём следую Пути :) но по крайней мере не виню себя за неэффективность и хотя бы местами стараюсь практиковать джедайский подход. Это уже помогает.</t>
  </si>
  <si>
    <t>Понравился формат аттестации</t>
  </si>
  <si>
    <t>8f0aa2aca2683b3399e85f3b14d80498</t>
  </si>
  <si>
    <t>6dc702057c3bfad7fe632c8d6d4d272f</t>
  </si>
  <si>
    <t>Нужно больше разбирать проектов и тренироваться</t>
  </si>
  <si>
    <t>8f0dbbcac7f4aff8147f3c403a7dd95b</t>
  </si>
  <si>
    <t>f_f_frolova</t>
  </si>
  <si>
    <t>Очень полезные главы из книг, видео. Они поданы и разделены по темам, мне подходит такой вариант прохождения курса.</t>
  </si>
  <si>
    <t>92a2d1b9272601d54a1d936f14089da3</t>
  </si>
  <si>
    <t>Практика "редиска" показала, научила, что важно переформулировать задачи, так как от этого зависит выполнение задачи.</t>
  </si>
  <si>
    <t>Можно ли как-то эту систему аккуратно предлагать мужу? Практически все мои рекомендации, новые знания он воспринимает как не особо нужные. Считает, что он справляется со своими задачами, но по большому счету он выполняет задачи, которые отодвигают красные цели, но в график ничего не может вставить из зеленых задач.</t>
  </si>
  <si>
    <t>4608402fcb1b833d89112a655226e2a0</t>
  </si>
  <si>
    <t>4ef4855942ef0ddf84d33b6f6040eef1</t>
  </si>
  <si>
    <t>622d09cca121cda7298036cb4fe561c7</t>
  </si>
  <si>
    <t>6933303e661e9f666f1e37174329dd56</t>
  </si>
  <si>
    <t>ba0c934c9448a9073ee40d87167d874d</t>
  </si>
  <si>
    <t>9b39fc5dcdba0dd6da8332d8e5e73c8b</t>
  </si>
  <si>
    <t>5d9d841c57f19af1277e61c9c49da657</t>
  </si>
  <si>
    <t>Номер недели</t>
  </si>
  <si>
    <t>Возобновил ведение зеленых задач. Вернее отмечаю работу над зелеными задачами.</t>
  </si>
  <si>
    <t>a60297068ae37fd641ae1fb51a4f0ecf</t>
  </si>
  <si>
    <t>Что угодно можно говорить, а интуиция работает</t>
  </si>
  <si>
    <t>93d74f8bee00d7511a23a00c6e38b121</t>
  </si>
  <si>
    <t>7e417b86b3b87eaccd7d85f746aa71d9</t>
  </si>
  <si>
    <t>c6d0771d9bceb18c98cea7324ab8aac4</t>
  </si>
  <si>
    <t>Чем быстрее рефлексия тем быстрее получается учиться - остаётся только научиться давать себе моменты услышать себя</t>
  </si>
  <si>
    <t>f90f6dfe3815a51fcfc1202e711d9a98</t>
  </si>
  <si>
    <t>У меня полностью внедрены многие джедайские техники</t>
  </si>
  <si>
    <t>c10798dce0047c63d05a71896639cbbc</t>
  </si>
  <si>
    <t>Делать все возможное, все что в моих силах
Возможно ли делать "все возможное"?
Время и внимание конечны, а возможностей и вариантов, часто взаимоисключающих, множество, поэтому выбор не отклонение от идеала, а сама форма действия.
Часто ли мы делаем "все что в наших силах"?
Думаю если такое и возможно, то в исключительных ситуациях, когда мы боремся до полного истощения.
Поэтому "делать все возможное, все что в моих силах", это скорее красивая форма самообмана, и возможно обмана окружающих, вместо того чтобы принять ответственность за свой выбор и действия.
Принять, что исходя из контекста и понимания ситуации в моменте, как я ее оценил, насколько серьезно и осознанно я к ней отнесся, я сделал выбор и действия пытаясь повлиять, в итоге ставки были сделаны и сыграли как сыграли, это нам неподконтрольно, результат остается только принять, учесть опыт и действовать дальше.</t>
  </si>
  <si>
    <t>09518e5a0c08f1d2518c3d8c0c963161</t>
  </si>
  <si>
    <t>Можно попробовать договориться с начальством, прежде чем писать заявление.
Общение с ИИ может помочь проанализировать и улучшить жизнь.
Можно планировать и делать по 15 дел в день, а не «2 больших, 3 маленьких».</t>
  </si>
  <si>
    <t>Невероятно вам благодарна за это обучение! Спасибо большое!</t>
  </si>
  <si>
    <t>2e4e6ba9fbe5c5d9368d6c16a50a754f</t>
  </si>
  <si>
    <t>1cad66897e5eb7dd62ef98962d851244</t>
  </si>
  <si>
    <t>Корреляции</t>
  </si>
  <si>
    <t>красное</t>
  </si>
  <si>
    <t>зеленое</t>
  </si>
  <si>
    <t>серое</t>
  </si>
  <si>
    <t>остаток</t>
  </si>
  <si>
    <t>Удовлетворенность неделей</t>
  </si>
  <si>
    <t>642c6d98ee700d64a0b8e3e180d5feee</t>
  </si>
  <si>
    <t>Похожесть недели</t>
  </si>
  <si>
    <t>Работа / личная жизнь</t>
  </si>
  <si>
    <t>15a65ab993d66654e9b8434a6df87726</t>
  </si>
  <si>
    <t>c4b86d2a4a548eb3d04601223266b82f</t>
  </si>
  <si>
    <t>7846d236637b82466150085478da71bf</t>
  </si>
  <si>
    <t>Стресс</t>
  </si>
  <si>
    <t>d54c0a838d7af670f41b617b066e8d03</t>
  </si>
  <si>
    <t>Написать три самые важные задачи - работает</t>
  </si>
  <si>
    <t>be44b241020d58d83ef48f6d14008e2f</t>
  </si>
  <si>
    <t>0f82af740103d544c165198e60d37a89</t>
  </si>
  <si>
    <t>22baed1174eacd94aa1e701c558ca830</t>
  </si>
  <si>
    <t>Я ценный работник, решающий разнообразные задачи. И от этого я быстро устаю</t>
  </si>
  <si>
    <t>Сколько времени в среднем уходит на выстраивание  и закрепление собственной системы планирования?</t>
  </si>
  <si>
    <t>ddd6ba0abd8619825fd4295cf602cb63</t>
  </si>
  <si>
    <t>Кодекс от опен АИ. Это бомба. Я прожил остальную жизнь зря. Я вернулся к написании игры, за выходные я сделал больше чем мог сделать за месяцы работы в одного.</t>
  </si>
  <si>
    <t>e6bfa74d41713f9221c5d3af2a261ab9</t>
  </si>
  <si>
    <t>27b7ff946301937eeea1f6dbb8ddd029</t>
  </si>
  <si>
    <t>Одним из открытий недели для меня было то, что "2 минуты ничего не делать" и "Работать помидорками" - это про разное. Я думал, что "2 минуты ничего не делать" - это про перерывы во время работы, а не про вырабатывания у себя навыка спокойно ничего не делать в течении долгого времени.</t>
  </si>
  <si>
    <t>7d4e19c4fddb043d7707b23fcd6d9ade</t>
  </si>
  <si>
    <t>надо ценить жизнь и здоровье себя и близких, пока есть возможность</t>
  </si>
  <si>
    <t>ab6979e7e8c80f100f70931d67253e64</t>
  </si>
  <si>
    <t>Оказывается можно выполнять практику ДСР и не напрягаться. Т.к. в жизни мы делаем тоже самое - планируем и делаем задачи.</t>
  </si>
  <si>
    <t>649ea405aee08e68d4517993baa7c87a</t>
  </si>
  <si>
    <t>a901baa13650ffd9cea4c7a71256b847</t>
  </si>
  <si>
    <t>41a74ffe57ae5368b32fb940a48099ba</t>
  </si>
  <si>
    <t>Дистресс</t>
  </si>
  <si>
    <t>Не знаю куда сенсорную перегрузку и плохое состояние, в срочное или операционное 😄</t>
  </si>
  <si>
    <t>d33ee86cab51fa6d81bc5a494b7beb38</t>
  </si>
  <si>
    <t>08592d1f3da923e0cf7076a4fc2971c2</t>
  </si>
  <si>
    <t>940c25f107dd6b9d60454e8f19c41e9e</t>
  </si>
  <si>
    <t>После Слоев Сопротивления поставил себе повторяющуюся задачу: "Делать задачи только из списка". И если до этого я делал задачи из списка несколько часов подряд, то теперь был в режиме 3-х дней задач только из списка. Теперь стало понятнее, куда порой улетают опилки и огрызки времени. А улетают они иногда на те самые: "Ой, да дело на 2 минуты". А 10 минут спустя: "Ну всё, я закончил или почти закончил"</t>
  </si>
  <si>
    <t>bf560eaffcb7e35b0f095df3fa76795b</t>
  </si>
  <si>
    <t>5eaaecf3363e9d26fbc50613db54e28f</t>
  </si>
  <si>
    <t>В начале пути надо следовать дословно практикам</t>
  </si>
  <si>
    <t>А есть задачник Джедимидовича по практикам?)</t>
  </si>
  <si>
    <t>8e3297260bc6287e6c27475e73bc869a</t>
  </si>
  <si>
    <t>4f73367e47e6f57705dc4bccea0fa07f</t>
  </si>
  <si>
    <t>4beb4c9b26263ca2d74634e4291828a9</t>
  </si>
  <si>
    <t>107114c8c32f978ffd5a94ff8fa209ac</t>
  </si>
  <si>
    <t>Надо ставить себя на 1 место, чтобы иметь силы делать то что надо.</t>
  </si>
  <si>
    <t>Шлю лучи добра</t>
  </si>
  <si>
    <t>ee6c159fb6801b90c75132c62f4e6a86</t>
  </si>
  <si>
    <t>c82bd12095ad48bb810ac3550d5b2aff</t>
  </si>
  <si>
    <t>3f1ce0a15e1a48804915129b27221cc7</t>
  </si>
  <si>
    <t>Совладание</t>
  </si>
  <si>
    <t>fe936c816bed110d637a92cf151824a9</t>
  </si>
  <si>
    <t>fedrr</t>
  </si>
  <si>
    <t>Можно менять своих таракашек через вопросы КПТ</t>
  </si>
  <si>
    <t>Прохожу ДС уже второй раз и те же статьи только начинаю понимать и применять на практике</t>
  </si>
  <si>
    <t>e62c582ccee98f91424ec9a57edf439a</t>
  </si>
  <si>
    <t>9a80453234a75bbd6f14d6c0a2ff6a2d</t>
  </si>
  <si>
    <t>a7412079cc6a4de8ba962a77235c55e2</t>
  </si>
  <si>
    <t>cc8ee27fafcdcd4e128f88f665f94bf4</t>
  </si>
  <si>
    <t>b190cd94e6cf0b07050b33ec904180bd</t>
  </si>
  <si>
    <t>2d94c028544f08bf85dea78254ea4c7a</t>
  </si>
  <si>
    <t>f48dca8bd04c9e0ea3c6093856eea086</t>
  </si>
  <si>
    <t>5179d32f611a859d2639b6a7db5ce8d1</t>
  </si>
  <si>
    <t>Что время летит, если не планировать, то можно легко терять дни</t>
  </si>
  <si>
    <t>029023df0e8b6eb8d89781326fc33fa1</t>
  </si>
  <si>
    <t>4360b4f9ea6f0ef8cb0117214385fb73</t>
  </si>
  <si>
    <t>ab519b8b9c5cb1f840580767696b0176</t>
  </si>
  <si>
    <t>987fcfb7b5096beadd192a097f0bf54a</t>
  </si>
  <si>
    <t>Спорт внезапно даёт силы а не забирает в долгосрок и даже среднесрок</t>
  </si>
  <si>
    <t>e647ca6e719f4d6b3273a56d51daf856</t>
  </si>
  <si>
    <t>e44dfcfa3204415ea1f89a2b5243ac07</t>
  </si>
  <si>
    <t>Идея с кубиками интересная, но не проделав полноценную рефлексию прошедшей недели, не оценив план/факт/вбоквилл, кубики кидаешь немного рандомно. Ну типа красное можно вспомнить по тому, помнишь ли стрессовое/авральное на работе и дома. Целевое по тому, сколько задач осталось несделанным. Серое - все остальное. Или в этом суть опроса - оценить ощущения?</t>
  </si>
  <si>
    <t>39a0da462ee0b2abe0d9c0eebef91f21</t>
  </si>
  <si>
    <t>c6e72401524bd860f4bb2d37bac4946d</t>
  </si>
  <si>
    <t>Всего ответов</t>
  </si>
  <si>
    <t>Я проявил управленческую смелость и отстоял перед генеральным директором заместителей генерального директора по строительству, объяснив, что задача функционального ЗГД — экспертно сопровождать коллег, а не подменять их оперативное управление.</t>
  </si>
  <si>
    <t>Следующую неделю я хочу посвятить не новым масштабным обсуждениям, а превращению одной правильной идеи в работающую систему — пилот унифицированной планёрки — и восстановлению собственного физического ресурса.</t>
  </si>
  <si>
    <t>2fd5ea079e957514067679b3c9ec8264</t>
  </si>
  <si>
    <t>PatRiOt88</t>
  </si>
  <si>
    <t>8a50e00ca6578cd2262fcfc211314026</t>
  </si>
  <si>
    <t>Красное</t>
  </si>
  <si>
    <t>Зеленое</t>
  </si>
  <si>
    <t>Серое</t>
  </si>
  <si>
    <t>собранная и еще не отлаженная система уже прошла проверку на прочность и не развалилась, хотя в предыдущие итерации я бы отвалился как минимум на неделю с планированием и синугляркой.
в этот раз куда четче заходит (по сравнению с самостоятельным изучением) ежд ревью.
маленькими шагами, но за большими результатами: эволюция - процесс не быстрый, зато результаты ее тоже надолго.
как в одной из книг Максима или Рустама: время получения знания должно быть как минимум уаравновешено временем практики (а получение знаний идет по сути перманентно, т.е. и практиковаться надо постоянно).
лучше сорок раз по разу, чем ни разу сорок раз ))</t>
  </si>
  <si>
    <t>5322ace8614435880cda93d46a32cfe6</t>
  </si>
  <si>
    <t>81ad9b81cff859be17b1ed95f5ec6df7</t>
  </si>
  <si>
    <t>bf7fe1d8d46de8767d310bcc3cd2bc00</t>
  </si>
  <si>
    <t>b0bb8a6200bfac8279758ac5c833866d</t>
  </si>
  <si>
    <t>Во время факапа, можно посраться, а можно собрать свою волю и начать действовать.
Но вот вопрос как не получать факапов с этим человеком?</t>
  </si>
  <si>
    <t>Спасибо.
как не получать новых факапов с человеком? Если не сраться, то человек не запоминает ((</t>
  </si>
  <si>
    <t>4e97ad7c3c0fcd554d2452379945c3fe</t>
  </si>
  <si>
    <t>41a8222fdc2134ada80b7e73279c2ea6</t>
  </si>
  <si>
    <t>Ухаживай за своим садом, а бабочки прилетят сами.</t>
  </si>
  <si>
    <t>Спасибо вам за ваш труд!</t>
  </si>
  <si>
    <t>d8de18b14395457697d3bb7929a117b5</t>
  </si>
  <si>
    <t>Продолжается расхламление пространства и в планировщике и в мыслях. Рутины типа живых помидорок, ежедневного планирования простраивают время и усилия</t>
  </si>
  <si>
    <t>Для меня уже есть уже явная ценность ДС.  ДС предлагает фреймворк из рутин, практик, активностей, которые можно сразу внедрять и они приносят результат. А подумать, осознать, инсайты и т.д. - это всё догоняет после. Т.е. как будто 2 и 3 столпы поменялись местами.</t>
  </si>
  <si>
    <t>191ba61ddbd98c385afa7e16d4929ff7</t>
  </si>
  <si>
    <t>Гипотеза, что глубинные изменения в психике взаимосвязаны с появлением внезапного хаоса(если что-то может пойти не так - оно пойдёт, сломаться-сломается, отлететь - отлетит) в жизни.
Пока не понял что из этого причина, а что следствие пока, тк в этом спринте я из этого цикла выйти не могу, за этот спринт 4 таких цикла прошло, вот в 5й на этой уронился.
За прошлый спринт вообще было 2-3, а тут уже опережение, и мне уже немного страшно)))
Джедайские техники нуууу оооочень сильно ускоряют изменения поведения и мышления, как остановить этот процесс(и надо ли?:) )!!!!????)))) 
А главное достижение - самосострадание проявляю и прислушиваюсь к себе больше.</t>
  </si>
  <si>
    <t>Чуть не попался на иллюзию, казалось что мало сделал на той неделе, и внутренний голос мне сказал, что сходи-ка проверь в самоанализах - там факты...
В итоге понял что глючило, неделя плодотворнейшая для того режима сна в котором я был, недосып на недосыпе увы, НО проекты двигались, задачи выполнялись.</t>
  </si>
  <si>
    <t>f7edb4987eca375b28e9583680363dba</t>
  </si>
  <si>
    <t>0fcc032e68ab33f824d17bebe6775b88</t>
  </si>
  <si>
    <t>Да отдыхать надо, вот и всё.</t>
  </si>
  <si>
    <t>ec064fa3df70944cddf4ba3f90b2f15e</t>
  </si>
  <si>
    <t>d7c680f62fe28d64761062f1162f17d5</t>
  </si>
  <si>
    <t>f687cb66b6571e83c925f07b77a80470</t>
  </si>
  <si>
    <t>Самое ценное - впечатление от бадди-созвона в стихийно образованной бадди-группе. Ребята замечательные и достойный пример!</t>
  </si>
  <si>
    <t>f363a2a2067e8b0e40094848465e79ec</t>
  </si>
  <si>
    <t>755979f20b51f53d5a0ca0a309768b3b</t>
  </si>
  <si>
    <t>забыл кнопку жмакнуть.
Гипотеза, что глубинные изменения в психике взаимосвязаны с появлением внезапного хаоса(если что-то может пойти не так - оно пойдёт, сломаться-сломается, отлететь - отлетит) в жизни.
Пока не понял что из этого причина, а что следствие пока, тк в этом спринте я из этого цикла выйти не могу, за этот спринт 4 таких цикла прошло, вот в 5й на этой уронился.
За прошлый спринт вообще было 2-3, а тут уже опережение, и мне уже немного страшно)))
Джедайские техники нуууу оооочень сильно ускоряют изменения поведения и мышления, как остановить этот процесс(и надо ли?:) )!!!!????)))) 
А главное достижение - самосострадание проявляю и прислушиваюсь к себе больше.</t>
  </si>
  <si>
    <t>d6dc78d7e13853a036c8d8cc7f7bf1b1</t>
  </si>
  <si>
    <t>b77ab78f8c29c7c6fa63c6fb15e565f3</t>
  </si>
  <si>
    <t>897badbb6ec280eccb79a0bd0d2c8cd6</t>
  </si>
  <si>
    <t>Медитация снижает-таки давление. 
На этой неделе принимала участие в строительных работах. Но несмотря на ощущение энергии в теле (руки-ноги), давление поднялось и не снижалось пока не сделала медитацию с Лапсанга. Что лишний раз доказывает какое воздействие на нас оказывает медитация и элементарный фокус на дыхании.</t>
  </si>
  <si>
    <t>В восстановлении после операции и продолжительной анемии сложность состоит  в признании, что восстановление идет не по арифмитической прогрессии, а по какой-то синусоиде со сложными процентами. Я отслеживаю разные показатели, делаю много действий для восстановления:  график сна, водного баланса, прогулки, питание, упражнения, перерывы, планирование всех задач на день как сторипойнт. Но очень сложно постоянно искать баланс в том, что уже можно, а чего еще нельзя.</t>
  </si>
  <si>
    <t>0de37945c7332b0297a1ad3dd60a6d82</t>
  </si>
  <si>
    <t>Планировать заранее план на отпуск-круто</t>
  </si>
  <si>
    <t>7c3cf1c76e731ae87ea2c9c76f50e2f1</t>
  </si>
  <si>
    <t>3a9cdab8b9c85ecefa03f18319352c1b</t>
  </si>
  <si>
    <t>ffcbc7297ea683b726981e9e52f18fbc</t>
  </si>
  <si>
    <t>Удачи ошеломляют порой не меньше неудач.</t>
  </si>
  <si>
    <t>Прикольно встречать старых Бадди в жизни, спасибо за классное сообщество</t>
  </si>
  <si>
    <t>542964d98b3bf25c6d1148126efdb46b</t>
  </si>
  <si>
    <t>На это неделе устал, но наконец поставил обсидиан и выгрузил туда список задач который у меня есть.</t>
  </si>
  <si>
    <t>9cfcba1760a341ba75f3d8679736f129</t>
  </si>
  <si>
    <t>Не раз слышал от Рустама историю о том, как к нему приходили люди и жаловались на огромные списки важных задач и как в ответ он сажал их выписывать задачи по памяти.
Дополнил похожим шагом свой ежедневный обзор. Перед тем как просматривать какие-либо списки, я открываю пустую заметку дня и отвечаю на вопрос "На чем я собираюсь сфокусироваться сегодня, на что направлю свое внимание и время?". Не что я должен или мне надо сделать, а что я собираюсь делать, потому что для меня это важно. Ответ на этот вопрос помогает мне задать каркас плана дня и вернуть себе агентность и связь со своими стремлениями.</t>
  </si>
  <si>
    <t>10b5f529d9404838d263cf05b2d29581</t>
  </si>
  <si>
    <t>Я очутил, насколько же старые привычки тесно связаны со средой, где они практиковались. На этой неделе буквально день пробыл в городской квартире, и появилось желание посмотреть ютубчик за обедом... Но голос разума посоветовал спрятать от себя телефон. Теперь ожидаю, что меня ждёт весёлый сентябрь, когда я вернусь в город и повылазят старые паттерны поведения, от которых я отошёл за лето в поселке. Благо, что спринт продолжится в сентябре и я ожидаю, что поддержкой бадди и практиками получится оставить новые полезные привычки, а не практиковать старые контрпродуктивные.</t>
  </si>
  <si>
    <t>А теперь немного статистики.
В 2025 году количество Ютуба в месяц было каким-то ужасающим. 
Май - 127ч
Июнь - 117ч
Июнь - 151ч
Август - 95ч
Сентябрь - 126ч
Октябрь - 109ч
Ноябрь - 191ч
Да, часть этого времени я спал, но брррр.
Зато теперь в 2026...
Май - 59ч
Июнь - 3ч 44м!
Июль - 1ч 22м!
И то, что нет Ютуба, не значит, что я перешёл на ТикТок или Инсту. Я снизил общее время в телефоне.
Если в МКБ добавят отравление информацией, то их есть у меня.
Я специально не отслеживал эти метрики, просто оставил приложение StayFree после первого прочтения джедайских техник. 
Спринт, в купе с закрытым гештальтом в виде высшего образования творит чудеса.</t>
  </si>
  <si>
    <t>cb3cd703dc0b304b7a4a7048597c273e</t>
  </si>
  <si>
    <t>3d284e5f94ffc3814d5a2943948bc31d</t>
  </si>
  <si>
    <t>1f1283f2ad31b5373ea755aa90cff3c5</t>
  </si>
  <si>
    <t>fa483feae05f368c3f977240ce1b0922</t>
  </si>
  <si>
    <t>cc8cbb6bc3865e2cbff8a8def92fec7d</t>
  </si>
  <si>
    <t>674df60189bfc3d52ca483ab490183b8</t>
  </si>
  <si>
    <t>2e5bf46c2d9a778c5b6d2730fd46ca05</t>
  </si>
  <si>
    <t>67c4999bbedf9ca32fdb8f51ff83828f</t>
  </si>
  <si>
    <t>7913775fde448e3c7970f0c3cdf8d0f7</t>
  </si>
  <si>
    <t>021b5b133bfc09ae3983623da6165ce5</t>
  </si>
  <si>
    <t>Я не знаю как ставить цели в проекте «дружба»:(</t>
  </si>
  <si>
    <t>c11c45ca605dcac1a160b03ad20a88ed</t>
  </si>
  <si>
    <t>Я очень отстала, сегодня выполнила задания только из 2 недели. Выполнила практику Внедрение привычек спустя 3 недели(?!) прокрастинации и мыслей, что оно мне не надо. Поняла, что практики по средам, коворки и мои ответы на задания в чате - это "столп осмысления". Столп "получение знаний" в ссылках к материалам, в чужих ответах в чате и в практиках тоже, конечно. А столп "применение на практике" - это уже моя ответственность, как я буду подстраивать полученные навыки под себя и как часто буду применять, и о чем я буду отчитываться в чате.</t>
  </si>
  <si>
    <t>31e98250cd9f37165dff18e1ed7b323a</t>
  </si>
  <si>
    <t>59f988aa00fca310ed230d6ccdc40170</t>
  </si>
  <si>
    <t>насилие во благо. В целом это полезно, но отгоревать насильственную природу изменений необходимо. Прежде чем все таки насладиться благом. Главное в горевании не застрять</t>
  </si>
  <si>
    <t>4780d5365ac7dd64007e98d71fd72ebe</t>
  </si>
  <si>
    <t>Даже с самым маленьким количеством ресурсов можно выиграть игру, в последний момент забрав их хитростью у одного из игроков.
Фраза «а мне это зачем?» как фильтр дел.</t>
  </si>
  <si>
    <t>Спасибо вам большое и за курс, и за участников этого курса, с кем я каждую неделю попадаю в Random Coffee</t>
  </si>
  <si>
    <t>3ebd53cb560638edf605e9422c692a0d</t>
  </si>
  <si>
    <t>Репрезентативность недели</t>
  </si>
  <si>
    <t>Значительно хуже</t>
  </si>
  <si>
    <t>78d8f7ed8a86056c271545035da6b1c3</t>
  </si>
  <si>
    <t>13894a499478909465780328492b2543</t>
  </si>
  <si>
    <t>Расхламинго по 15 минут, и вообще ставит цель 15 минут для объемных и иногда монотонных задач (все для обезьянки)</t>
  </si>
  <si>
    <t>390423fd7683a6979515303182a158c5</t>
  </si>
  <si>
    <t>В течение дня я занята какой-то хренью</t>
  </si>
  <si>
    <t>Очень прикольные техники и ДСР и ГОПНиК, только народу немного на них, как я понимаю. Рандом кофе тоже здорово :)</t>
  </si>
  <si>
    <t>Хуже</t>
  </si>
  <si>
    <t>2f0355409f38bf141acb69c82eb7ad08</t>
  </si>
  <si>
    <t>6c0bc36dfacd774fcae15b4fe43f8cf3</t>
  </si>
  <si>
    <t>Nazgul_design</t>
  </si>
  <si>
    <t>Говно случается, плывем</t>
  </si>
  <si>
    <t>9a96ff0f3136e9b10524ce7b2680049e</t>
  </si>
  <si>
    <t>Чуть хуже</t>
  </si>
  <si>
    <t>cf987ff974bb9aea953e69bfa2833578</t>
  </si>
  <si>
    <t>Как обычно</t>
  </si>
  <si>
    <t>обычно отпуск или выходные, особенно длинные, валил всю систему.
в этот раз такого не случилось - подошел куда организованнее и системно.</t>
  </si>
  <si>
    <t>ce4c917870e78167c9da566d07f33da8</t>
  </si>
  <si>
    <t>Чуть лучше</t>
  </si>
  <si>
    <t>Проверил на практике, оказалось работает!
Если сделать пусть только 15 минут зеленую задачу (и первой), то:
1. через 4 дня ты ей уделил минимум час
2. а ещё оказывается, что там, где начинается 15 мин, может пройти и 45 мин. 
И сдвинулась задача (я продвинулся через задачу к своей цели), которая долго лежала. 
2 часа уделить зеленой задаче достаточно? да. Но является ли это необходимым? Оказалось, необходимо всего 15 мин.</t>
  </si>
  <si>
    <t>2a34b61970b92ebfdfc6552ba1c82933</t>
  </si>
  <si>
    <t>Лучше</t>
  </si>
  <si>
    <t>Сапы - это кайф</t>
  </si>
  <si>
    <t>2958455d2a32c6c014045b1ae7ee2ba6</t>
  </si>
  <si>
    <t>Значительно лучше</t>
  </si>
  <si>
    <t>Яне забросил джедайские старты и потихоньку делаю</t>
  </si>
  <si>
    <t>Прошлые опросы не делал вылетел. Возвращаюсь потихоньку. Долги скапливаются. Бесит</t>
  </si>
  <si>
    <t>Личная жизнь или работа</t>
  </si>
  <si>
    <t>Всё на личное</t>
  </si>
  <si>
    <t>9ac0ac9a5f154bcde7c539fe7c912606</t>
  </si>
  <si>
    <t>bb98a0f8b1cd65134997b569a4d28c55</t>
  </si>
  <si>
    <t>Меня не хватает не то что на все задачи, на информацию об этих задачах. Нужно сокращать число проектов, в которые я включена</t>
  </si>
  <si>
    <t>49df19db7f52824025c489b16dc11d2e</t>
  </si>
  <si>
    <t>Баланс</t>
  </si>
  <si>
    <t>7f808fb68a42a76c2e19de21e65f9d2c</t>
  </si>
  <si>
    <t>f031a97380c92483f567f32de81ce2e4</t>
  </si>
  <si>
    <t>49163c89a79cd6a1b556f3b0accae7b7</t>
  </si>
  <si>
    <t>5e8cce177e64e42772e3c0f9322217bc</t>
  </si>
  <si>
    <t>иногда тело само делает нужные действия для восстановления</t>
  </si>
  <si>
    <t>eb2ff4ce533d3c750f757d82666becfd</t>
  </si>
  <si>
    <t>Работа над задержкой общения с собой и другими даёт результаты на длинном горизонте</t>
  </si>
  <si>
    <t>297f9f04fc7253f88bacd9d13017d465</t>
  </si>
  <si>
    <t>Всё на работу</t>
  </si>
  <si>
    <t>Постоянно приходится выбирать на что потратить мыслетоливо, а на что - забить. А так хочется делать всё, на всё соглашаться, и не отказываться ни от чего)</t>
  </si>
  <si>
    <t>273a495ee623969cfcf911496f56c18c</t>
  </si>
  <si>
    <t>Нельзя недооценивать умения, работающие на околосознательном уровне
Например, контейнирование слабо контролируемое, но при этом может сильно помогать. И помогает лично мне в несознательном режиме даже больше, чем в явно сознательном</t>
  </si>
  <si>
    <t>08a3b22a099b14cdfd06c35cdaab4942</t>
  </si>
  <si>
    <t>На сколько я доволен неделей?</t>
  </si>
  <si>
    <t>Фу, отстой :-(</t>
  </si>
  <si>
    <t>cd9bbdd3f6cbf3647c6f6fb5f12579a0</t>
  </si>
  <si>
    <t>fb38535f4ffa75b6b5300733f3942dd9</t>
  </si>
  <si>
    <t>Стабильно делать результат - повод для гордости, значения, уважения</t>
  </si>
  <si>
    <t>Вопросы в опросе сложные, вроде только что сделал обзор недели, но все равно не уверен что честно ответил на вопросы, как будто не могу свести результаты недели и ответы на вопросы</t>
  </si>
  <si>
    <t>23dc519d0f7405f1eab10202d01118ee</t>
  </si>
  <si>
    <t>25325083e513f156e4ef41c068101d62</t>
  </si>
  <si>
    <t>8e6d5689b530e01d23f7412af988a4a0</t>
  </si>
  <si>
    <t>66929dc76c81fc7a37fa0ab6a5bc7324</t>
  </si>
  <si>
    <t>16e02053c9ae7b18cad9fe11e87512ff</t>
  </si>
  <si>
    <t>9dd88b8da2508c62e8e8edf05cca022e</t>
  </si>
  <si>
    <t>32c9a2de05b2d97fcd4107c0bce5f6c3</t>
  </si>
  <si>
    <t>Делаешь -&gt; смотришь -&gt; улучшаешь -&gt; делаешь -&gt; смотришь -&gt; улучшаешь
Меньше думать.
Магии не будет если делать не будешь.</t>
  </si>
  <si>
    <t>Средненько</t>
  </si>
  <si>
    <t>У Хубермана есть подкаст с Девидом Гогинсом про дисциплину, и про переднюю среднюю поясную кору в мозге, которая под нагрузкой увеличивается в размере. Нагрузка = действия которые не хочется или неприятно делать но ты делаешь. Описывали ее как мышцу, т.к. она себя ведет похожим образом и она может прокачиваться. Мне кажется джедайский спринт эту часть прокачивает если делать все как надо.</t>
  </si>
  <si>
    <t>b27b5e826fd945620b9a45bf78d9e92e</t>
  </si>
  <si>
    <t>Много лишнего, суета из-за страха не успеть.</t>
  </si>
  <si>
    <t>2db81fde41af8768fed1b775117b5a1a</t>
  </si>
  <si>
    <t>ef6ef76601efe17508a821112ea6ff1d</t>
  </si>
  <si>
    <t>5ae096c4b3733f8449a1b2234def1440</t>
  </si>
  <si>
    <t>cfd33cef53f01920551c5a6b92cf1550</t>
  </si>
  <si>
    <t>53327da50b1aae9b8676f168be78f48d</t>
  </si>
  <si>
    <t>3a7fd8c6026b57096607552518b9605d</t>
  </si>
  <si>
    <t>Я - молодец!!1</t>
  </si>
  <si>
    <t>ce236b6462fbc25763be1af615e7df4d</t>
  </si>
  <si>
    <t>b12af445dd8f5ed0417736174b65a8a2</t>
  </si>
  <si>
    <t>6853253aefb0eeae8460f760880a8368</t>
  </si>
  <si>
    <t>Уволиться с работы с токсичным начальником было лучшей инвестицией последнего времени. 
Я довольно чувствителен к тону общения людей, и постоянная ругань на работе для меня - серьезный стресс-фактор. И ругань - это не разговоры матом, а постоянное активное и агрессивное недовольство клиентами, сотрудниками, государством и т.п. Я научился это худо-бедно нивелировать, но мои «щиты», как оказалось, требовали несоизмеримо много дополнительной энергии, которая сейчас наконец-то высвобождается.</t>
  </si>
  <si>
    <t>Хорошо бы если не сами результаты, то ссылку на результаты Пульс-Опроса высылать в телегу.
О том, что результаты Пульс-Опроса публикуются в Приложении узнал только из комментария Максима в телеге совсем недавно. 
Вообще неочевидно, что в приложение надо заходить и на что-то реагировать.</t>
  </si>
  <si>
    <t>7ab0a2dc33294e3241a303dcea4ebbb3</t>
  </si>
  <si>
    <t>71acb5cd37d7c65615f4be6a43a580fa</t>
  </si>
  <si>
    <t>0d16e06d1d18c119df799a536e35c194</t>
  </si>
  <si>
    <t>12НГ</t>
  </si>
  <si>
    <t>0bba468f13246b90ef3ace0f866dabe5</t>
  </si>
  <si>
    <t>Что ебашить надо, независимо от желания и наличия сил</t>
  </si>
  <si>
    <t>1ad6a505c56b3e99b8e0b5897e37ea0d</t>
  </si>
  <si>
    <t>a4e32a8acd600c88343f38b69da7d725</t>
  </si>
  <si>
    <t>a_yearshow</t>
  </si>
  <si>
    <t>d34f591c8bc9db47fa8af15db739090b</t>
  </si>
  <si>
    <t>8932385aee9d64e742f8aa882916a0f5</t>
  </si>
  <si>
    <t>Когда не получается соблюдать рутины, такие как начать утро с зеленой задачи и не залипать в телефон в кровати — это индикатор, что я себя плохо чувствую, эмоционально иди физически перегружен</t>
  </si>
  <si>
    <t>fb939a12f81592ee44690b3c1363c5b6</t>
  </si>
  <si>
    <t>351773ecd90e2963ab18398eb84f367d</t>
  </si>
  <si>
    <t>8116462e723a7ec149fcec0ab02b094f</t>
  </si>
  <si>
    <t>Психотерапия принесла новую штуку. Конфликт мозга и тела, и эта неделя была сонная.</t>
  </si>
  <si>
    <t>0b2693284527b03062e7a5968f5bdd20</t>
  </si>
  <si>
    <t>Главное начать делать, а не думать о последствиях или ожиданиях...</t>
  </si>
  <si>
    <t>6d2f2504d0093a071b7c0ab28fa0f1bb</t>
  </si>
  <si>
    <t>0595e823b7ee8b8de3c3eeb2563eac5b</t>
  </si>
  <si>
    <t>69180a32e744aaeb2f48036e2cafe40d</t>
  </si>
  <si>
    <t>0e5ab229b48c5a3d9c051d068b6eb3e5</t>
  </si>
  <si>
    <t>f9e378a048e2f37c902c41a7b6668324</t>
  </si>
  <si>
    <t>eedc8161d2fe24eb4fb7809071241440</t>
  </si>
  <si>
    <t>В последние несколько лет периодически возникала слабость из-за низкого гемоглобина и дефицита железа. Вообще они у меня с подросткового возраста, но после трудоустройства симптомы проявились сильнее. В последние года 3 в моменты страшного бессилия и череды простуд сдавала анализы и ходила к врачу с жалобами, пила назначенное железо. Становилось легче на несколько месяцев, пока не начинала снова испытывать недостаток энергии. 
На этой неделе дочитала книгу "Антианемия" детского врача гематолога Арсеновой А., выделяя каждый день по 20 минут и отмечая привычку. Внезапно увидела по трекеру привычек, что с книгой справилась за 13 дней, так бы понятия не имела, за какое время я ее прочитала. Пока не знаю, для чего мне эта случайная информация, но приятно, а то в последние несколько лет я только одну книгу в год могла прочитать из-за "недостатка времени".
Немного сошла с темы. На этой неделе сдала анализы на дефицит железа. Благодаря информации из книги я теперь знаю, что дефицита сейчас нет и надо дальше поддерживать состояние. До этого следила за питанием, чтобы лучше усваивать железо из продуктов, но про это нет информации в книге, это ее единственный минус. Так же руководствуясь рекомендациям из этой книги настроила в планировщике раз в 3 месяца повторяющуюся задачу "Выбрать день для сдачи ОАК, ферритина и В12", чтобы не профукать момент, когда железо в организме начнет снижаться и вовремя принять препараты. Считаю, что сделала таким образом большой вклад в здоровье на долгосрочную перспективу и в будущее самочувствие и даже в родительство. Как вспомню, каждый раз радуюсь.</t>
  </si>
  <si>
    <t>Я читаю комментарии Максима на наши комментарии, не знала, что нам надо комментировать комментарии Максима на наши комментарии 🙃</t>
  </si>
  <si>
    <t>e14114fadf369095dbaebcf34b11a4cd</t>
  </si>
  <si>
    <t>2f472500e8b89d401e99ed5506f2a963</t>
  </si>
  <si>
    <t>bcc1c26c2635a40e045b9a1ee02b950e</t>
  </si>
  <si>
    <t>5b4217351e51ea13478cc4ba599244ae</t>
  </si>
  <si>
    <t>Построил колесо баланса и прослезился ,)
Не удивительно, что по отдельным направлениям "прогресс" хромает )
Очень полезный инструмент!</t>
  </si>
  <si>
    <t>41b79ef85bb5234f6413cc2439d616c5</t>
  </si>
  <si>
    <t>766543f8da134ca38a8ed085b985be24</t>
  </si>
  <si>
    <t>9cc0b22909de294912e6c58cbb1f89ca</t>
  </si>
  <si>
    <t>Звёздочки</t>
  </si>
  <si>
    <t>58707e6bfb389d5638f36292d74babf0</t>
  </si>
  <si>
    <t>нужно учиться жить с чувством неловкости</t>
  </si>
  <si>
    <t>а п'ошто нет комментариев Максима в телеграме?!</t>
  </si>
  <si>
    <t>74c0406bbb58e5483b13ae8fb3e41c3c</t>
  </si>
  <si>
    <t>Можно сколько угодно верить в свою силу воли или количество подходов к планированию задач, но движение малыми шагами/задачами - это всегда рабочее движение
А вот упор на "опытность" - работает, пока есть "лишняя" энергия, потраченная на силу воли)</t>
  </si>
  <si>
    <t>Интересно каждую неделю отвечать на вопрос "В течение прошедшего месяца как часто Вы"
Лично я вкладываю усилия, чтобы понять "отсечку" и пересчитать свою оценку с прошлой недели
Это так и должно работать?)</t>
  </si>
  <si>
    <t>357d556b9bc5beb657ed616dc02001bd</t>
  </si>
  <si>
    <t>04f3554c34196d20f732d98355d420ee</t>
  </si>
  <si>
    <t>ed80bfc573725c3b39541466726310d5</t>
  </si>
  <si>
    <t>839f159ede2f0dfa2d8f6de60409210b</t>
  </si>
  <si>
    <t>Если заниматься планированием и многие задачи делать заранее, а не в последний момент, то в случае БОЛЬШОГО вбоквилла можно забить на всё и не сильно переживать что есть что-то другое - срочное.</t>
  </si>
  <si>
    <t>2367a39d4fc102db93e10055b4616234</t>
  </si>
  <si>
    <t>Комментарий Максиму. На одном из занятий мы должны были отрефлексировать почему мы считаем, что определённая задача приближает к цели и должны были сослаться на источник. Также было занятие, где мы работали с сопротивлением определённым техникам. После занятий я периодически возвращался к этим мыслям и пришёл к выводу, что в моём случае некоторая часть сопротивления идёт не от "мне это не поможет", а от "действительно ли это вообще помогает". В дальнейшем, возвращаясь к разговорам с другими участниками на практиках, я обратил внимание, что никто ни разу не апеллировал к каким-то обоснованиям и метрикам, а всё сводилось к вопросу веры и силы культа личности (здесь также наблюдается обратная корреляция между интеллектом и глубиной веры).  В книгах для некоторых техник есть ссылки на первоисточники идеи, где-то есть ссылки на исследования. При этом у меня сложилось стойкое впечатление, что часть аудитории считает достаточным только материалы и практики курса. А вот в них как раз зачастую для краткости опускается рациональное обоснование. У меня есть гипотеза, что рациональное обоснование может помочь некоторой части аудитории в джедайском старте.</t>
  </si>
  <si>
    <t>e835ed7ec6590bb2708ce22cbaeb482f</t>
  </si>
  <si>
    <t>4458c408391bacc825b3730d811146b3</t>
  </si>
  <si>
    <t>Сингулярка тема и работа на баре где теннис тоже тема. Работаешь быстро, эффективно, разгребаешь рутину.</t>
  </si>
  <si>
    <t>c01578b4a92afc40500dc41ea07a84a9</t>
  </si>
  <si>
    <t>Благодаря удаленке (и джедайству) можно съездить куда-нибудь в легкое направление, не беря отпуск, и классно провести время!
Снова заметила сложности с разрешением себе отдыха, буду пробовать новые подходы</t>
  </si>
  <si>
    <t>9df1fc156ac895c90ba79414188e28b5</t>
  </si>
  <si>
    <t>74b92ebbe1f8823ca059c7a6f2d1f0a1</t>
  </si>
  <si>
    <t>Постаралась увидеть свет в конце тоннеля) 
Смогла поработать над стратегическим... Но паника, что всё сыпется, еще не прошла</t>
  </si>
  <si>
    <t>faa9c428d8f773a12dbc16a6153c73ad</t>
  </si>
  <si>
    <t>- нужно учиться ловить кайф от скуки, повторяющихся действий, а не от качель и геройств
- Чем яснее формулировка цели, задачи, тем мотивирующе становится</t>
  </si>
  <si>
    <t>Вы классные) Практика с Рустамом понравилась</t>
  </si>
  <si>
    <t>f4bb525dafcdcd3cb03a40e696e5fcf6</t>
  </si>
  <si>
    <t>5d08e3e43790594187c6500c22de42c8</t>
  </si>
  <si>
    <t>мои ответы будут точками выброса, т.к. в Севастополе по-прежнему сложная обстановка с ЭЭ, что накладывает след на все: работу, жизнь и приготовление пищи, обучение и прочее</t>
  </si>
  <si>
    <t>89f7f9e32712f280ecfbb565f8a5add1</t>
  </si>
  <si>
    <t>И снова при возвращении в город слегка слетела база. В моменты когда следовало бы остановиться на ничегонеделание я продолжал эмоциональный разговор... Перезвонил, сразу увидев уведомление о пропущенном звонке... Хотя этому человеку можно было перезвонить позже.
Главное, что я заметил эти моменты хотя-бы постфактум. Значит у меня есть шанс остановить себя в подобной ситуации в следующий раз.</t>
  </si>
  <si>
    <t>682f6849ce8f9d1484554f080b11f527</t>
  </si>
  <si>
    <t>Зелёные задачи могут стартовать из красных, но надо дать им возможность вырасти до зеленых</t>
  </si>
  <si>
    <t>3bf65d6b16086e434e1b870aa1610649</t>
  </si>
  <si>
    <t>Искорки</t>
  </si>
  <si>
    <t>542269713ea3842bd447b724f6c42082</t>
  </si>
  <si>
    <t>Забота и контроль здоровья не должны заменять саму жизнь.</t>
  </si>
  <si>
    <t>Спасибо, что вы есть.</t>
  </si>
  <si>
    <t>a68cde1a04e5ca9c2560609abfd80fd9</t>
  </si>
  <si>
    <t>e908268dd55841dc5edf726ae9c29a7b</t>
  </si>
  <si>
    <t>6e0f83bc930fbc8b8d919766d42bae4b</t>
  </si>
  <si>
    <t>db86cbf5ec8031e4a9f3076e72be0950</t>
  </si>
  <si>
    <t>Maxim_Ivanoff</t>
  </si>
  <si>
    <t>9fb04ff8b0521946640063c5c2325b1d</t>
  </si>
  <si>
    <t>ee11cbc310573aae2db2d47cf2e567b6</t>
  </si>
  <si>
    <t>d32546c05af8048c26e9484757144734</t>
  </si>
  <si>
    <t>Всю неделю соприкасался с этим хаосом, и понял, что оказывается в нём закопано много возможностей, и я зря от него убегал.
Хаос - категорически полезная штука в жизни, в разумных пределах понятно.
Теперь бы мне научиться гармонично сочетать свою любовь к структуре, и давать время и место хаосу, случайности.</t>
  </si>
  <si>
    <t>Взять в этот спринт фокус на фундаменте и кайфе, оставив всё остальное делаться по остаточному принципу - лучшее решение было.
Во первых - это по новому и необычно, проведение эксперимента очень увлекательно всегда.
Во вторых - даже когда всё через жопу, отлетает всё к чертям, делается почти нифига, главная задача(фундамент в виде отдыха, развлечения и общения себя) выполняется.
Мало того что выполняется главная задача(а значит я крут и молодец), это ещё и приятно в процессе.
WIN-WIN.</t>
  </si>
  <si>
    <t>b9c356bd52d7d68014870933e81f8276</t>
  </si>
  <si>
    <t>50b132633d2033664e928a3ab67ac53e</t>
  </si>
  <si>
    <t>af3120ef3e9add2b1ba0369516bd59f8</t>
  </si>
  <si>
    <t>b9a337714a5c2ab9795c31e2961b44cf</t>
  </si>
  <si>
    <t>69ef40b06a736340564e3ecf6527b7c8</t>
  </si>
  <si>
    <t>60f2f4a508ee3e93af000273b941a946</t>
  </si>
  <si>
    <t>Шаг за шагом раз за разом рефлексия делает свое дело</t>
  </si>
  <si>
    <t>9843eca5891766da433c74fd1712daa9</t>
  </si>
  <si>
    <t>5c63b39ad3d7e3b3d1814f64b29e7942</t>
  </si>
  <si>
    <t>652eba2047df1ca45c83991a49c1d83e</t>
  </si>
  <si>
    <t>915d3081e35447fbaeecf3aeffbd1aaf</t>
  </si>
  <si>
    <t>Я мало себя хвалю. Хорошо что есть Бадди которые это замечают, возмущаются и говорят мне об этом. 😂</t>
  </si>
  <si>
    <t>113128452ac438abf860cce3cf780445</t>
  </si>
  <si>
    <t>7fcc9dc19cf520aa074dfa4b349c32ad</t>
  </si>
  <si>
    <t>bbd434e0e539f464b1f0fb42d0fa543b</t>
  </si>
  <si>
    <t>К сожалению, не могу из недели вынести ничего ценного, тревога, рутина, переживания</t>
  </si>
  <si>
    <t>41757430d027d85c082e36c8de7edf46</t>
  </si>
  <si>
    <t>Не помню. Опять сплю много.</t>
  </si>
  <si>
    <t>b1e2cf352463a4598607523211ea26af</t>
  </si>
  <si>
    <t>6f91df88c382c7c401c33183c9f5961b</t>
  </si>
  <si>
    <t>Лучики</t>
  </si>
  <si>
    <t>e0357cf354f2a601edec470d5f564abb</t>
  </si>
  <si>
    <t>0912db10e0e514511e05bf34f9baa2cf</t>
  </si>
  <si>
    <t>Жизнь — это управление вниманием: оно определяет, как мы видим мир, что замечаем, а что нет, чему уделяем внимание, а чему нет, и в конечном итоге определяет то, куда мы движемся.</t>
  </si>
  <si>
    <t>7d78f7bb0cdf6f54d337fd8cf361387f</t>
  </si>
  <si>
    <t>ce71864925272d8a6b6ad3688f01df1c</t>
  </si>
  <si>
    <t>на самом деле математики не "молотят теоремы одна за другой", как учат в школе, а "долго ходят размозолев от брожения, пока барахтается в тине сердца глупая вобла воображения" -- вот и хрен знает, почему у меня режим по умолчанию "решать наскоком"</t>
  </si>
  <si>
    <t>почему в спринте возникает режим кризиса в середине? -- это ж как долгая тренировка выходит, которая сильно выматывает, вот организм и вынужден адаптироваться (или умирац; несколько знакомых бадди брали паузы от спринтов, чтоб пойти в своем темпе немного, и я так делал). вот у спортсменов жеж есть периоды отдыха, где наши каникулы? :D
ну я еще докину сюда в кашу мыслей -- такими штуками [как спринт] занимаются же в освновном всякие тревожники, будто нужен какой-то карцер для принудительного ничегонеделанья, а то выгорание почти обеспечено (и фундаментные-кайфовые проекты не очень-то его компенсируют, ведь несделанные проектики-то вот они, висят в плане на неделю -- каждую неделю)</t>
  </si>
  <si>
    <t>cfdeb455825b0b9934a94ec58ed0107c</t>
  </si>
  <si>
    <t>Услышал фразу в фильме *Зачем тебе знать как устроены часы? Просто иногда посматривай на время". Хороший вопрос.. Иногда так хочется углубиться в какую-либо тему, но хочу ли я быть мастером в ней?</t>
  </si>
  <si>
    <t>3636975aa6d2f894634bf104e4889452</t>
  </si>
  <si>
    <t>Не всякий отпуск про отдых (((</t>
  </si>
  <si>
    <t>830f572549687b86912fcfa6114bd889</t>
  </si>
  <si>
    <t>9db1484620d4f5fd11605e367ca80da2</t>
  </si>
  <si>
    <t>967a526ea1f6e5697c3d00795d1067a9</t>
  </si>
  <si>
    <t>da8db0626a15099bc23bd33e812197ce</t>
  </si>
  <si>
    <t>Sobetov</t>
  </si>
  <si>
    <t>Забил</t>
  </si>
  <si>
    <t>aa82f4cb047bd466493865405544f811</t>
  </si>
  <si>
    <t>f5c1299a6086d58c36c54146401d7166</t>
  </si>
  <si>
    <t>Я на дне</t>
  </si>
  <si>
    <t>8384693fc9c582771aa06bccf19c3cd5</t>
  </si>
  <si>
    <t>Словил удовлетворение, что проходя очередной ежедневный обзор, я всего лишь прокликал выполненное, перенес новое в бэклог, а важное закинул на сл день. Полная уверенность в системе и что там все задачи и ничего не потеряно</t>
  </si>
  <si>
    <t>fe6b9ad66216d519f492bd23c4773811</t>
  </si>
  <si>
    <t>Проекты, которыми занимаюсь уже три спринта, начали дозревать и завершаться. Но такая длительность как будто не лает в полной мере порадоваться результату. Было очень много мелких, но обязательных действий, ведущих к этому результату.</t>
  </si>
  <si>
    <t>Хочется ещё вариантов по времени на еженедельную рефлексию.</t>
  </si>
  <si>
    <t>27ae4664e5068a80e87ec8358840ebc6</t>
  </si>
  <si>
    <t>dc3ba8824af39f3120ed8754edc1caa8</t>
  </si>
  <si>
    <t>427c7f9a40e568f3154eec3b80e65002</t>
  </si>
  <si>
    <t>Оказывается хаос - не что-то страшное и ужасное, а выгода и возможности. При моей тяге и любви к структуре(гипертрофированной) это бесценный опыт, прожить осознанный выбор хаоса, и получение выгоды в нём.
Осознать реальное состояние, и количество сил порой не представляется возможным, ощущения - ненадёжный источник для ориентира. Залипание в ютуб например - показатель усталости, когда я продолбал все признаки - организм так изолирует меня от дальнейшего упарывания в достигаторство, и сжигания остатка сил в кредит.
А я думал что это недостаток "развлечения" так реализую. Нет, это недостаток отдыха, и отсутствие мыслетоплива.</t>
  </si>
  <si>
    <t>Всё же фокус на фундаменте и кайфе в течении всего спринта - лучший выбор. Остальное делается в любом случае, пусть и не в том объёме котором хочется, зато есть ненулевая вероятность стабильнее пройти путь, и выйти в следущий с запасом сил, а не с дефицитом.</t>
  </si>
  <si>
    <t>411ebb206a5f2b59978f2fd02d19b497</t>
  </si>
  <si>
    <t>da00e78d1f21128a3b7d6d04b07b443a</t>
  </si>
  <si>
    <t>Настойчивость иногда помогает преодолеть "отставания" по срокам и т.д.
Но все-таки лучше двигаться по проекту планомерно, а не в режиме ААА!</t>
  </si>
  <si>
    <t>Огоньки</t>
  </si>
  <si>
    <t>481d734613d4a623338dee1d58e3ec45</t>
  </si>
  <si>
    <t>c45791d7fc83af52a0d5211ee63d0806</t>
  </si>
  <si>
    <t>e6ba9514ade9521858fb7581fc1074e3</t>
  </si>
  <si>
    <t>Я уже ни раз делаю замечание самой себе что меня беспокоит ощущение рассеянности, что нет фокусировки и чувства в моменте, потому что я гонюсь за всем подряд, что я не успеваю что-то сделать, что недостаточно уделила времени моменту или процессу. Даже в отпуске, я не могла насладиться отпуском, потому что меня донимало мое же чувство необходимости контроля рабочего процесса, которое не давало мне перезагрузиться и выдохнуть.</t>
  </si>
  <si>
    <t>b4790352ce376a71d52f8c729bb6bd2e</t>
  </si>
  <si>
    <t>0a3e1c0a1b4b93757dfbb2e69f32cb30</t>
  </si>
  <si>
    <t>Отпуск</t>
  </si>
  <si>
    <t>12374fbfd061cf584132aea704b4c34a</t>
  </si>
  <si>
    <t>d441eead4eb61759f6d50c3f8a13a692</t>
  </si>
  <si>
    <t>9720a38b4e0f8f9f9ef2c03e1c729251</t>
  </si>
  <si>
    <t>e24a8aee9639946e31d359282da74b87</t>
  </si>
  <si>
    <t>за работой и планированием продалбываются личные задачи - значит и их стоит планировать четче, тем более подходы я уже знаю.
взял проект для наведения порядка в одной из сфер личной жизни</t>
  </si>
  <si>
    <t>865687a325c35913bd0647f6066dd68b</t>
  </si>
  <si>
    <t>3c36d22c0c24214284495766b46ca8a1</t>
  </si>
  <si>
    <t>ba40969d7f0733ad8c7091eb8e888ad9</t>
  </si>
  <si>
    <t>1dd34e5d0e2710089d520a4af8b5de41</t>
  </si>
  <si>
    <t>Улитки, вскрывающие бардак в моей голове )</t>
  </si>
  <si>
    <t>4196e099fe9e8af1c0ca9fd1d4c8bd0f</t>
  </si>
  <si>
    <t>(Не)чтение - вещь. Я тот человек, который писал сочинения по литературе со слезами на глазах. В старших классам наоборот полюбил и чтение, и сочинения на те темы, которые мне нравились. Но сколько логики было в моих записях? Скорее всего не много...
Теперь понемногу восполняю пробелы в умении читать и писать...</t>
  </si>
  <si>
    <t>884b94af42746a6e811ec335cceeea51</t>
  </si>
  <si>
    <t>В период ДС регулярность ежедневных обзоров за всю жизнь пока что самая легкая, длительная и без пропусков. Система еще не отлажена, уже отвалилась привычка читать книгу каждый день по 20 минут (мб потому что книга новая и еще не затянула) и вовремя ложиться спать. Только-только в эти выходные установила Olauncher, настроила развлекающий Телеграм и рабочий Макс. Самонаблюдение веду в Хронометраже по 30 минут, наверное, перестану его использовать, когда закончится место в табличке.
Я знала, что полезно вести дневник, пробовала уже давно вести его в заметках в телефоне, или в бумажном блокноте, год назад пробовала приложение Daylio. Забрасывала, потому что в дневнике я не могу кратко писать, как прошел мой день, и наваливаю туда свои мысли. У меня вообще привычка много писать, каждый раз простыня. Я тратила на это много времени, и ведение дневника мне быстро надоедало и становилось лень.
Год назад я читала в Пути джедая про дневник самонаблюдения, видела фото блокнота Максима, но идея мне не понравилась. Выбрала ежедневный чек-лист в HWYD, потому что он показался проще. Примерно через месяц я его забросила. Я, наверное, и в этот раз на ДС не попробовала бы вести дневник самонаблюдения, ограничившись Хронометражем. Но в видео увидела лайфхак от Максима, как он загибает листочек пополам, чтобы держать дни недели и наблюдаемые активности в одном поле зрения. Я среагировала, как реагируют дети на какую-то приколюху - "Ооо! Я тоже хочу!". Ради фокуса с загнутым листочком я завела блокнот. Прошла неделя, дневник мне нравится. В него не надо много писать, да и не получится, даже если разойдешься. Все кратко и наглядно. Наблюдаю за отдыхом, одним проектом, порядком в доме и здоровьем. Благодарность вчерашней себе тоже пишу там же, в дневнике самонаблюдения. Надеюсь, что я его быстро не заброшу.
Для второй недели захотелось оформить дневник цветными ручками, так мне еще приятнее пользоваться им.</t>
  </si>
  <si>
    <t>Появилась мысль, что каждый, кто читает книги Максима с целью улучшить свою жизнь, все равно должен пережить содержание книг на джедайском старте.</t>
  </si>
  <si>
    <t>ae1eada179508f3399203cf308436410</t>
  </si>
  <si>
    <t>Не хочу попадать в статистику "оттока с курса", поэтому снова начинаю заполнять пульс-опросы)
В жизни спринта участвую, только на опросы подзабила</t>
  </si>
  <si>
    <t>23c7469f47bdb39f0134f5baf3b9b1af</t>
  </si>
  <si>
    <t>80cae5b2ef487e90d62b345db2a6d5d1</t>
  </si>
  <si>
    <t>Всё меняется. Бывает плохо. Бывает хорошо. Бывает по-разному.</t>
  </si>
  <si>
    <t>64aef65a13f3b0501047abbfb00b3675</t>
  </si>
  <si>
    <t>ad3a5d845b7c0729f765789bea11a92a</t>
  </si>
  <si>
    <t>Из Телеги Максима Дорофеева попал на статью Рустама. Спасибо! Понравилась мысль.
если человек “думает” в голове, то с очень высокой вероятностью он не думает, а пережевывает какие-то случайные мысли. Думание всегда оставляет шрам в виде заметки. Отсюда мой вывод, что заметки помогают психике, даде если ты не пишешь публичный контент. Заметка - домик для мысли. 
https://rustamagamaliev.ru/garden/%D0%BD%D0%B5%D0%BB%D1%8C%D0%B7%D1%8F-%D0%B2%D0%BE%D1%82-%D1%82%D0%B0%D0%BA-%D0%BF%D1%80%D0%BE%D1%81%D1%82%D0%BE-%D0%B2%D0%B7%D1%8F%D1%82%D1%8C-%D0%B8-%D0%BD%D0%B0%D1%87%D0%B0%D1%82%D1%8C-%D0%B4%D1%83%D0%BC%D0%B0%D1%82%D1%8C/</t>
  </si>
  <si>
    <t>525f192c8808cd486da314c3e73b88bb</t>
  </si>
  <si>
    <t>0713c644157ff24b5477074d2f1477ad</t>
  </si>
  <si>
    <t>592d07211ebc45e44c86be6523908f64</t>
  </si>
  <si>
    <t>b5b5160e0244b14e58c9b80a56c8e36d</t>
  </si>
  <si>
    <t>41a27761f33e6dad3439ea273e196552</t>
  </si>
  <si>
    <t>Что можно планировать проекты с ИИ, сделал алгоритм планирования, который можно грузить в любую нейронку для контекста и сразу легче идет. Правда не все проекты требуют разбора и планирования</t>
  </si>
  <si>
    <t>48259f157ecb501a5c32865ecf8a9aca</t>
  </si>
  <si>
    <t>Я могу прожить день без смартфона</t>
  </si>
  <si>
    <t>885d6854a7af0a5e227cd1295b94a8ce</t>
  </si>
  <si>
    <t>Лупай скалу...</t>
  </si>
  <si>
    <t>1600fbed44fe6dd569a377a8f54e098a</t>
  </si>
  <si>
    <t>Неделя казалась «никакой», а раскладка по дням показала: она была плотная жизнью (кино, вечеринка, болдеринг, выставка). Время не потерялось — просто не заметилось.</t>
  </si>
  <si>
    <t>491fb85ed2fa3fc102332bd2a4d5f34b</t>
  </si>
  <si>
    <t>4bcbf861895d84bb2f421f87ad071f92</t>
  </si>
  <si>
    <t>484218558694f474b87f66099c7354d6</t>
  </si>
  <si>
    <t>c5ebc9438982054b01c8622f790a393e</t>
  </si>
  <si>
    <t>3b1edc73e5cc163bef1f99bb5cd4f77d</t>
  </si>
  <si>
    <t>35315f5c2113e25c8e14b7cb5fa4b85c</t>
  </si>
  <si>
    <t>4769643715e73671c0195a1dce17f357</t>
  </si>
  <si>
    <t>80837c7129507146699a37a25bc64d01</t>
  </si>
  <si>
    <t>a6d0aa8ad8de0a345e310ce87bc0fb61</t>
  </si>
  <si>
    <t>Улитка - сила. Пока необузданная сила</t>
  </si>
  <si>
    <t>Вы красаффчики</t>
  </si>
  <si>
    <t>30afca43a8a9286c3266a0b9c5a61eac</t>
  </si>
  <si>
    <t>5d82199259070028a5403f3c6d5e7279</t>
  </si>
  <si>
    <t>Всего красного</t>
  </si>
  <si>
    <t>Все преодолимо, когда у тебя есть цель</t>
  </si>
  <si>
    <t>459c6dbbb4f57f92850e363edb782ec1</t>
  </si>
  <si>
    <t>e6ed0d2c6840c872262a9f05d528c238</t>
  </si>
  <si>
    <t>242d7a88c0fc51d81db24de18532fdd3</t>
  </si>
  <si>
    <t>a9a3279d641ebf565dfc31f79939276f</t>
  </si>
  <si>
    <t>47cd7bad491e9db72093e0d6370dbc32</t>
  </si>
  <si>
    <t>Вести личные и рабочие задачи в одном списке но не могу это делать на выходных</t>
  </si>
  <si>
    <t>0f745083e1e4f09335c62896946f4449</t>
  </si>
  <si>
    <t>0686ad4f53e419488f8b87e656babe5b</t>
  </si>
  <si>
    <t>c2c7403ef549c569fb34a3dbf26e26d1</t>
  </si>
  <si>
    <t>dcd5eb86472e61e90e1e4db5d89242f5</t>
  </si>
  <si>
    <t>Всего зеленого</t>
  </si>
  <si>
    <t>Средний баланс работа / личное</t>
  </si>
  <si>
    <t>Индекс трудоголизма</t>
  </si>
  <si>
    <t>Индекс похожести недели</t>
  </si>
  <si>
    <t>Индекс удовлетворенности неделей</t>
  </si>
  <si>
    <t>Среднее зеленое</t>
  </si>
  <si>
    <t>Среднее красное</t>
  </si>
  <si>
    <t>Среднее серое</t>
  </si>
  <si>
    <t>Человек с балансом работа / личное</t>
  </si>
  <si>
    <t>Низкий стресс</t>
  </si>
  <si>
    <t>Средний стресс</t>
  </si>
  <si>
    <t>Высокий стресс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</si>
</sst>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9">
    <font>
      <sz val="10.0"/>
      <color rgb="FF000000"/>
      <name val="Arial"/>
      <scheme val="minor"/>
    </font>
    <font>
      <color theme="1"/>
      <name val="Arial"/>
      <scheme val="minor"/>
    </font>
    <font>
      <b/>
      <sz val="24.0"/>
      <color theme="1"/>
      <name val="Arial"/>
      <scheme val="minor"/>
    </font>
    <font>
      <b/>
      <sz val="14.0"/>
      <color theme="1"/>
      <name val="Arial"/>
      <scheme val="minor"/>
    </font>
    <font>
      <sz val="22.0"/>
      <color theme="1"/>
      <name val="Arial"/>
      <scheme val="minor"/>
    </font>
    <font>
      <sz val="20.0"/>
      <color theme="1"/>
      <name val="Arial"/>
      <scheme val="minor"/>
    </font>
    <font>
      <sz val="18.0"/>
      <color theme="1"/>
      <name val="Arial"/>
      <scheme val="minor"/>
    </font>
    <font>
      <sz val="9.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Font="1"/>
    <xf borderId="0" fillId="0" fontId="3" numFmtId="0" xfId="0" applyAlignment="1" applyFont="1">
      <alignment readingOrder="0"/>
    </xf>
    <xf borderId="0" fillId="0" fontId="1" numFmtId="9" xfId="0" applyFont="1" applyNumberFormat="1"/>
    <xf borderId="0" fillId="0" fontId="4" numFmtId="0" xfId="0" applyAlignment="1" applyFont="1">
      <alignment readingOrder="0"/>
    </xf>
    <xf borderId="0" fillId="0" fontId="5" numFmtId="0" xfId="0" applyAlignment="1" applyFont="1">
      <alignment horizontal="center" readingOrder="0" vertical="center"/>
    </xf>
    <xf borderId="0" fillId="0" fontId="1" numFmtId="0" xfId="0" applyAlignment="1" applyFont="1">
      <alignment horizontal="right" readingOrder="0"/>
    </xf>
    <xf borderId="0" fillId="0" fontId="1" numFmtId="2" xfId="0" applyAlignment="1" applyFont="1" applyNumberFormat="1">
      <alignment readingOrder="0"/>
    </xf>
    <xf borderId="0" fillId="0" fontId="6" numFmtId="2" xfId="0" applyAlignment="1" applyFont="1" applyNumberFormat="1">
      <alignment readingOrder="0"/>
    </xf>
    <xf borderId="0" fillId="0" fontId="1" numFmtId="2" xfId="0" applyFont="1" applyNumberFormat="1"/>
    <xf borderId="0" fillId="0" fontId="7" numFmtId="0" xfId="0" applyFont="1"/>
    <xf borderId="0" fillId="0" fontId="8"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'Аналитика'!$B$11</c:f>
            </c:strRef>
          </c:tx>
          <c:spPr>
            <a:solidFill>
              <a:srgbClr val="FF00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'Аналитика'!$A$12:$A$18</c:f>
            </c:strRef>
          </c:cat>
          <c:val>
            <c:numRef>
              <c:f>'Аналитика'!$B$12:$B$18</c:f>
              <c:numCache/>
            </c:numRef>
          </c:val>
        </c:ser>
        <c:ser>
          <c:idx val="1"/>
          <c:order val="1"/>
          <c:tx>
            <c:strRef>
              <c:f>'Аналитика'!$C$11</c:f>
            </c:strRef>
          </c:tx>
          <c:spPr>
            <a:solidFill>
              <a:srgbClr val="6AA84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'Аналитика'!$A$12:$A$18</c:f>
            </c:strRef>
          </c:cat>
          <c:val>
            <c:numRef>
              <c:f>'Аналитика'!$C$12:$C$18</c:f>
              <c:numCache/>
            </c:numRef>
          </c:val>
        </c:ser>
        <c:ser>
          <c:idx val="2"/>
          <c:order val="2"/>
          <c:tx>
            <c:strRef>
              <c:f>'Аналитика'!$D$11</c:f>
            </c:strRef>
          </c:tx>
          <c:spPr>
            <a:solidFill>
              <a:srgbClr val="CCCCCC"/>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'Аналитика'!$A$12:$A$18</c:f>
            </c:strRef>
          </c:cat>
          <c:val>
            <c:numRef>
              <c:f>'Аналитика'!$D$12:$D$18</c:f>
              <c:numCache/>
            </c:numRef>
          </c:val>
        </c:ser>
        <c:axId val="670198983"/>
        <c:axId val="118194597"/>
      </c:barChart>
      <c:catAx>
        <c:axId val="6701989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194597"/>
      </c:catAx>
      <c:valAx>
        <c:axId val="1181945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019898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Как прошла эта неделя относительно "обычной" недели?</a:t>
            </a:r>
          </a:p>
        </c:rich>
      </c:tx>
      <c:overlay val="0"/>
    </c:title>
    <c:plotArea>
      <c:layout/>
      <c:barChart>
        <c:barDir val="col"/>
        <c:ser>
          <c:idx val="0"/>
          <c:order val="0"/>
          <c:tx>
            <c:strRef>
              <c:f>'Аналитика'!$C$21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'Аналитика'!$B$22:$B$28</c:f>
            </c:strRef>
          </c:cat>
          <c:val>
            <c:numRef>
              <c:f>'Аналитика'!$C$22:$C$28</c:f>
              <c:numCache/>
            </c:numRef>
          </c:val>
        </c:ser>
        <c:axId val="1150309811"/>
        <c:axId val="359181615"/>
      </c:barChart>
      <c:catAx>
        <c:axId val="1150309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359181615"/>
      </c:catAx>
      <c:valAx>
        <c:axId val="3591816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030981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Как вы распределяли силы между работой и личным?</a:t>
            </a:r>
          </a:p>
        </c:rich>
      </c:tx>
      <c:overlay val="0"/>
    </c:title>
    <c:plotArea>
      <c:layout/>
      <c:barChart>
        <c:barDir val="col"/>
        <c:ser>
          <c:idx val="0"/>
          <c:order val="0"/>
          <c:tx>
            <c:strRef>
              <c:f>'Аналитика'!$C$30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'Аналитика'!$B$31:$B$37</c:f>
            </c:strRef>
          </c:cat>
          <c:val>
            <c:numRef>
              <c:f>'Аналитика'!$C$31:$C$37</c:f>
              <c:numCache/>
            </c:numRef>
          </c:val>
        </c:ser>
        <c:axId val="527734398"/>
        <c:axId val="1540827328"/>
      </c:barChart>
      <c:catAx>
        <c:axId val="5277343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40827328"/>
      </c:catAx>
      <c:valAx>
        <c:axId val="1540827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773439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Удовлетворенность неделей</a:t>
            </a:r>
          </a:p>
        </c:rich>
      </c:tx>
      <c:overlay val="0"/>
    </c:title>
    <c:plotArea>
      <c:layout/>
      <c:barChart>
        <c:barDir val="col"/>
        <c:ser>
          <c:idx val="0"/>
          <c:order val="0"/>
          <c:tx>
            <c:strRef>
              <c:f>'Аналитика'!$C$40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'Аналитика'!$B$41:$B$47</c:f>
            </c:strRef>
          </c:cat>
          <c:val>
            <c:numRef>
              <c:f>'Аналитика'!$C$41:$C$47</c:f>
              <c:numCache/>
            </c:numRef>
          </c:val>
        </c:ser>
        <c:axId val="1189926286"/>
        <c:axId val="295767164"/>
      </c:barChart>
      <c:catAx>
        <c:axId val="1189926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95767164"/>
      </c:catAx>
      <c:valAx>
        <c:axId val="2957671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992628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Отвечаемость на пульс-опросы</a:t>
            </a:r>
          </a:p>
        </c:rich>
      </c:tx>
      <c:overlay val="0"/>
    </c:title>
    <c:plotArea>
      <c:layout/>
      <c:barChart>
        <c:barDir val="col"/>
        <c:ser>
          <c:idx val="0"/>
          <c:order val="0"/>
          <c:tx>
            <c:strRef>
              <c:f>'Аналитика'!$B$57</c:f>
            </c:strRef>
          </c:tx>
          <c:spPr>
            <a:solidFill>
              <a:schemeClr val="accent1"/>
            </a:solidFill>
            <a:ln cmpd="sng">
              <a:noFill/>
            </a:ln>
          </c:spPr>
          <c:cat>
            <c:strRef>
              <c:f>'Аналитика'!$A$58:$A$62</c:f>
            </c:strRef>
          </c:cat>
          <c:val>
            <c:numRef>
              <c:f>'Аналитика'!$B$58:$B$62</c:f>
              <c:numCache/>
            </c:numRef>
          </c:val>
        </c:ser>
        <c:ser>
          <c:idx val="1"/>
          <c:order val="1"/>
          <c:tx>
            <c:strRef>
              <c:f>'Аналитика'!$C$57</c:f>
            </c:strRef>
          </c:tx>
          <c:spPr>
            <a:solidFill>
              <a:schemeClr val="accent2"/>
            </a:solidFill>
            <a:ln cmpd="sng">
              <a:noFill/>
            </a:ln>
          </c:spPr>
          <c:cat>
            <c:strRef>
              <c:f>'Аналитика'!$A$58:$A$62</c:f>
            </c:strRef>
          </c:cat>
          <c:val>
            <c:numRef>
              <c:f>'Аналитика'!$C$58:$C$62</c:f>
              <c:numCache/>
            </c:numRef>
          </c:val>
        </c:ser>
        <c:ser>
          <c:idx val="2"/>
          <c:order val="2"/>
          <c:tx>
            <c:strRef>
              <c:f>'Аналитика'!$D$57</c:f>
            </c:strRef>
          </c:tx>
          <c:spPr>
            <a:solidFill>
              <a:schemeClr val="accent3"/>
            </a:solidFill>
            <a:ln cmpd="sng">
              <a:noFill/>
            </a:ln>
          </c:spPr>
          <c:cat>
            <c:strRef>
              <c:f>'Аналитика'!$A$58:$A$62</c:f>
            </c:strRef>
          </c:cat>
          <c:val>
            <c:numRef>
              <c:f>'Аналитика'!$D$58:$D$62</c:f>
              <c:numCache/>
            </c:numRef>
          </c:val>
        </c:ser>
        <c:ser>
          <c:idx val="3"/>
          <c:order val="3"/>
          <c:tx>
            <c:strRef>
              <c:f>'Аналитика'!$E$57</c:f>
            </c:strRef>
          </c:tx>
          <c:spPr>
            <a:solidFill>
              <a:schemeClr val="accent4"/>
            </a:solidFill>
            <a:ln cmpd="sng">
              <a:noFill/>
            </a:ln>
          </c:spPr>
          <c:cat>
            <c:strRef>
              <c:f>'Аналитика'!$A$58:$A$62</c:f>
            </c:strRef>
          </c:cat>
          <c:val>
            <c:numRef>
              <c:f>'Аналитика'!$E$58:$E$62</c:f>
              <c:numCache/>
            </c:numRef>
          </c:val>
        </c:ser>
        <c:ser>
          <c:idx val="4"/>
          <c:order val="4"/>
          <c:tx>
            <c:strRef>
              <c:f>'Аналитика'!$F$57</c:f>
            </c:strRef>
          </c:tx>
          <c:spPr>
            <a:solidFill>
              <a:schemeClr val="accent5"/>
            </a:solidFill>
            <a:ln cmpd="sng">
              <a:noFill/>
            </a:ln>
          </c:spPr>
          <c:cat>
            <c:strRef>
              <c:f>'Аналитика'!$A$58:$A$62</c:f>
            </c:strRef>
          </c:cat>
          <c:val>
            <c:numRef>
              <c:f>'Аналитика'!$F$58:$F$62</c:f>
              <c:numCache/>
            </c:numRef>
          </c:val>
        </c:ser>
        <c:ser>
          <c:idx val="5"/>
          <c:order val="5"/>
          <c:tx>
            <c:strRef>
              <c:f>'Аналитика'!$G$57</c:f>
            </c:strRef>
          </c:tx>
          <c:spPr>
            <a:solidFill>
              <a:schemeClr val="accent6"/>
            </a:solidFill>
            <a:ln cmpd="sng">
              <a:noFill/>
            </a:ln>
          </c:spPr>
          <c:cat>
            <c:strRef>
              <c:f>'Аналитика'!$A$58:$A$62</c:f>
            </c:strRef>
          </c:cat>
          <c:val>
            <c:numRef>
              <c:f>'Аналитика'!$G$58:$G$62</c:f>
              <c:numCache/>
            </c:numRef>
          </c:val>
        </c:ser>
        <c:ser>
          <c:idx val="6"/>
          <c:order val="6"/>
          <c:tx>
            <c:strRef>
              <c:f>'Аналитика'!$H$57</c:f>
            </c:strRef>
          </c:tx>
          <c:spPr>
            <a:solidFill>
              <a:schemeClr val="accent1">
                <a:lumOff val="30000"/>
              </a:schemeClr>
            </a:solidFill>
            <a:ln cmpd="sng">
              <a:noFill/>
            </a:ln>
          </c:spPr>
          <c:cat>
            <c:strRef>
              <c:f>'Аналитика'!$A$58:$A$62</c:f>
            </c:strRef>
          </c:cat>
          <c:val>
            <c:numRef>
              <c:f>'Аналитика'!$H$58:$H$62</c:f>
              <c:numCache/>
            </c:numRef>
          </c:val>
        </c:ser>
        <c:ser>
          <c:idx val="7"/>
          <c:order val="7"/>
          <c:tx>
            <c:strRef>
              <c:f>'Аналитика'!$I$57</c:f>
            </c:strRef>
          </c:tx>
          <c:spPr>
            <a:solidFill>
              <a:schemeClr val="accent2">
                <a:lumOff val="30000"/>
              </a:schemeClr>
            </a:solidFill>
            <a:ln cmpd="sng">
              <a:noFill/>
            </a:ln>
          </c:spPr>
          <c:cat>
            <c:strRef>
              <c:f>'Аналитика'!$A$58:$A$62</c:f>
            </c:strRef>
          </c:cat>
          <c:val>
            <c:numRef>
              <c:f>'Аналитика'!$I$58:$I$62</c:f>
              <c:numCache/>
            </c:numRef>
          </c:val>
        </c:ser>
        <c:ser>
          <c:idx val="8"/>
          <c:order val="8"/>
          <c:tx>
            <c:strRef>
              <c:f>'Аналитика'!$J$57</c:f>
            </c:strRef>
          </c:tx>
          <c:spPr>
            <a:solidFill>
              <a:schemeClr val="accent3">
                <a:lumOff val="30000"/>
              </a:schemeClr>
            </a:solidFill>
            <a:ln cmpd="sng">
              <a:noFill/>
            </a:ln>
          </c:spPr>
          <c:cat>
            <c:strRef>
              <c:f>'Аналитика'!$A$58:$A$62</c:f>
            </c:strRef>
          </c:cat>
          <c:val>
            <c:numRef>
              <c:f>'Аналитика'!$J$58:$J$62</c:f>
              <c:numCache/>
            </c:numRef>
          </c:val>
        </c:ser>
        <c:ser>
          <c:idx val="9"/>
          <c:order val="9"/>
          <c:tx>
            <c:strRef>
              <c:f>'Аналитика'!$K$57</c:f>
            </c:strRef>
          </c:tx>
          <c:spPr>
            <a:solidFill>
              <a:schemeClr val="accent4">
                <a:lumOff val="30000"/>
              </a:schemeClr>
            </a:solidFill>
            <a:ln cmpd="sng">
              <a:noFill/>
            </a:ln>
          </c:spPr>
          <c:cat>
            <c:strRef>
              <c:f>'Аналитика'!$A$58:$A$62</c:f>
            </c:strRef>
          </c:cat>
          <c:val>
            <c:numRef>
              <c:f>'Аналитика'!$K$58:$K$62</c:f>
              <c:numCache/>
            </c:numRef>
          </c:val>
        </c:ser>
        <c:axId val="2111973963"/>
        <c:axId val="231848108"/>
      </c:barChart>
      <c:catAx>
        <c:axId val="21119739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31848108"/>
      </c:catAx>
      <c:valAx>
        <c:axId val="231848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197396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Индекс трудоголизма</a:t>
            </a:r>
          </a:p>
        </c:rich>
      </c:tx>
      <c:overlay val="0"/>
    </c:title>
    <c:plotArea>
      <c:layout/>
      <c:barChart>
        <c:barDir val="col"/>
        <c:ser>
          <c:idx val="0"/>
          <c:order val="0"/>
          <c:tx>
            <c:strRef>
              <c:f>'Аналитика'!$C$75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'Аналитика'!$B$76:$B$88</c:f>
            </c:strRef>
          </c:cat>
          <c:val>
            <c:numRef>
              <c:f>'Аналитика'!$C$76:$C$88</c:f>
              <c:numCache/>
            </c:numRef>
          </c:val>
        </c:ser>
        <c:axId val="1344223581"/>
        <c:axId val="309397902"/>
      </c:barChart>
      <c:catAx>
        <c:axId val="13442235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9397902"/>
      </c:catAx>
      <c:valAx>
        <c:axId val="309397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Индекс трудоголизма</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422358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Индекс похожести недели</a:t>
            </a:r>
          </a:p>
        </c:rich>
      </c:tx>
      <c:overlay val="0"/>
    </c:title>
    <c:plotArea>
      <c:layout/>
      <c:barChart>
        <c:barDir val="col"/>
        <c:ser>
          <c:idx val="0"/>
          <c:order val="0"/>
          <c:tx>
            <c:strRef>
              <c:f>'Аналитика'!$D$75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'Аналитика'!$B$76:$B$88</c:f>
            </c:strRef>
          </c:cat>
          <c:val>
            <c:numRef>
              <c:f>'Аналитика'!$D$76:$D$88</c:f>
              <c:numCache/>
            </c:numRef>
          </c:val>
        </c:ser>
        <c:axId val="1939449104"/>
        <c:axId val="1403006226"/>
      </c:barChart>
      <c:catAx>
        <c:axId val="19394491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03006226"/>
      </c:catAx>
      <c:valAx>
        <c:axId val="14030062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Индекс похожести недели</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944910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Индекс удовлетворенностью неделей</a:t>
            </a:r>
          </a:p>
        </c:rich>
      </c:tx>
      <c:overlay val="0"/>
    </c:title>
    <c:plotArea>
      <c:layout/>
      <c:barChart>
        <c:barDir val="col"/>
        <c:ser>
          <c:idx val="0"/>
          <c:order val="0"/>
          <c:tx>
            <c:strRef>
              <c:f>'Аналитика'!$E$75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'Аналитика'!$B$76:$B$88</c:f>
            </c:strRef>
          </c:cat>
          <c:val>
            <c:numRef>
              <c:f>'Аналитика'!$E$76:$E$88</c:f>
              <c:numCache/>
            </c:numRef>
          </c:val>
        </c:ser>
        <c:axId val="758092566"/>
        <c:axId val="673679812"/>
      </c:barChart>
      <c:catAx>
        <c:axId val="758092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3679812"/>
      </c:catAx>
      <c:valAx>
        <c:axId val="6736798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Индекс энергодефицита</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8092566"/>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'Аналитика'!$F$75</c:f>
            </c:strRef>
          </c:tx>
          <c:spPr>
            <a:solidFill>
              <a:srgbClr val="6AA84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'Аналитика'!$B$76:$B$88</c:f>
            </c:strRef>
          </c:cat>
          <c:val>
            <c:numRef>
              <c:f>'Аналитика'!$F$76:$F$88</c:f>
              <c:numCache/>
            </c:numRef>
          </c:val>
        </c:ser>
        <c:ser>
          <c:idx val="1"/>
          <c:order val="1"/>
          <c:tx>
            <c:strRef>
              <c:f>'Аналитика'!$G$75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'Аналитика'!$B$76:$B$88</c:f>
            </c:strRef>
          </c:cat>
          <c:val>
            <c:numRef>
              <c:f>'Аналитика'!$G$76:$G$88</c:f>
              <c:numCache/>
            </c:numRef>
          </c:val>
        </c:ser>
        <c:ser>
          <c:idx val="2"/>
          <c:order val="2"/>
          <c:tx>
            <c:strRef>
              <c:f>'Аналитика'!$H$75</c:f>
            </c:strRef>
          </c:tx>
          <c:spPr>
            <a:solidFill>
              <a:srgbClr val="999999"/>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'Аналитика'!$B$76:$B$88</c:f>
            </c:strRef>
          </c:cat>
          <c:val>
            <c:numRef>
              <c:f>'Аналитика'!$H$76:$H$88</c:f>
              <c:numCache/>
            </c:numRef>
          </c:val>
        </c:ser>
        <c:overlap val="100"/>
        <c:axId val="1500895204"/>
        <c:axId val="290979168"/>
      </c:barChart>
      <c:catAx>
        <c:axId val="15008952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90979168"/>
      </c:catAx>
      <c:valAx>
        <c:axId val="290979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089520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Респондентов с балансом работа / личное</a:t>
            </a:r>
          </a:p>
        </c:rich>
      </c:tx>
      <c:overlay val="0"/>
    </c:title>
    <c:plotArea>
      <c:layout/>
      <c:barChart>
        <c:barDir val="col"/>
        <c:ser>
          <c:idx val="0"/>
          <c:order val="0"/>
          <c:tx>
            <c:strRef>
              <c:f>'Аналитика'!$I$75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'Аналитика'!$B$76:$B$88</c:f>
            </c:strRef>
          </c:cat>
          <c:val>
            <c:numRef>
              <c:f>'Аналитика'!$I$76:$I$88</c:f>
              <c:numCache/>
            </c:numRef>
          </c:val>
        </c:ser>
        <c:axId val="250546569"/>
        <c:axId val="1620897668"/>
      </c:barChart>
      <c:catAx>
        <c:axId val="2505465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0897668"/>
      </c:catAx>
      <c:valAx>
        <c:axId val="16208976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Человек с балансом работа / личное</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054656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Средние значения фактора дистресса и совладания</a:t>
            </a:r>
          </a:p>
        </c:rich>
      </c:tx>
      <c:overlay val="0"/>
    </c:title>
    <c:plotArea>
      <c:layout/>
      <c:lineChart>
        <c:ser>
          <c:idx val="0"/>
          <c:order val="0"/>
          <c:tx>
            <c:strRef>
              <c:f>'Аналитика'!$C$97</c:f>
            </c:strRef>
          </c:tx>
          <c:spPr>
            <a:ln cmpd="sng">
              <a:solidFill>
                <a:srgbClr val="4285F4"/>
              </a:solidFill>
            </a:ln>
          </c:spPr>
          <c:marker>
            <c:symbol val="circle"/>
            <c:size val="10"/>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'Аналитика'!$B$98:$B$110</c:f>
            </c:strRef>
          </c:cat>
          <c:val>
            <c:numRef>
              <c:f>'Аналитика'!$C$98:$C$110</c:f>
              <c:numCache/>
            </c:numRef>
          </c:val>
          <c:smooth val="0"/>
        </c:ser>
        <c:ser>
          <c:idx val="1"/>
          <c:order val="1"/>
          <c:tx>
            <c:strRef>
              <c:f>'Аналитика'!$D$97</c:f>
            </c:strRef>
          </c:tx>
          <c:spPr>
            <a:ln cmpd="sng">
              <a:solidFill>
                <a:srgbClr val="EA4335"/>
              </a:solidFill>
            </a:ln>
          </c:spPr>
          <c:marker>
            <c:symbol val="circle"/>
            <c:size val="10"/>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'Аналитика'!$B$98:$B$110</c:f>
            </c:strRef>
          </c:cat>
          <c:val>
            <c:numRef>
              <c:f>'Аналитика'!$D$98:$D$110</c:f>
              <c:numCache/>
            </c:numRef>
          </c:val>
          <c:smooth val="0"/>
        </c:ser>
        <c:axId val="513378723"/>
        <c:axId val="1138998793"/>
      </c:lineChart>
      <c:catAx>
        <c:axId val="5133787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38998793"/>
      </c:catAx>
      <c:valAx>
        <c:axId val="1138998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1337872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Процент участников с разными уровнями стресса</a:t>
            </a:r>
          </a:p>
        </c:rich>
      </c:tx>
      <c:overlay val="0"/>
    </c:title>
    <c:plotArea>
      <c:layout/>
      <c:barChart>
        <c:barDir val="col"/>
        <c:grouping val="stacked"/>
        <c:ser>
          <c:idx val="0"/>
          <c:order val="0"/>
          <c:tx>
            <c:strRef>
              <c:f>'Аналитика'!$E$97</c:f>
            </c:strRef>
          </c:tx>
          <c:spPr>
            <a:solidFill>
              <a:srgbClr val="6AA84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'Аналитика'!$B$98:$B$110</c:f>
            </c:strRef>
          </c:cat>
          <c:val>
            <c:numRef>
              <c:f>'Аналитика'!$E$98:$E$110</c:f>
              <c:numCache/>
            </c:numRef>
          </c:val>
        </c:ser>
        <c:ser>
          <c:idx val="1"/>
          <c:order val="1"/>
          <c:tx>
            <c:strRef>
              <c:f>'Аналитика'!$F$97</c:f>
            </c:strRef>
          </c:tx>
          <c:spPr>
            <a:solidFill>
              <a:srgbClr val="F1C23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'Аналитика'!$B$98:$B$110</c:f>
            </c:strRef>
          </c:cat>
          <c:val>
            <c:numRef>
              <c:f>'Аналитика'!$F$98:$F$110</c:f>
              <c:numCache/>
            </c:numRef>
          </c:val>
        </c:ser>
        <c:ser>
          <c:idx val="2"/>
          <c:order val="2"/>
          <c:tx>
            <c:strRef>
              <c:f>'Аналитика'!$G$97</c:f>
            </c:strRef>
          </c:tx>
          <c:spPr>
            <a:solidFill>
              <a:srgbClr val="CC4125"/>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'Аналитика'!$B$98:$B$110</c:f>
            </c:strRef>
          </c:cat>
          <c:val>
            <c:numRef>
              <c:f>'Аналитика'!$G$98:$G$110</c:f>
              <c:numCache/>
            </c:numRef>
          </c:val>
        </c:ser>
        <c:overlap val="100"/>
        <c:axId val="1148562926"/>
        <c:axId val="929323050"/>
      </c:barChart>
      <c:catAx>
        <c:axId val="11485629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29323050"/>
      </c:catAx>
      <c:valAx>
        <c:axId val="9293230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856292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'По человекам'!$C$3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'По человекам'!$B$4:$B$16</c:f>
            </c:strRef>
          </c:cat>
          <c:val>
            <c:numRef>
              <c:f>'По человекам'!$C$4:$C$16</c:f>
              <c:numCache/>
            </c:numRef>
          </c:val>
        </c:ser>
        <c:ser>
          <c:idx val="1"/>
          <c:order val="1"/>
          <c:tx>
            <c:strRef>
              <c:f>'По человекам'!$D$3</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'По человекам'!$B$4:$B$16</c:f>
            </c:strRef>
          </c:cat>
          <c:val>
            <c:numRef>
              <c:f>'По человекам'!$D$4:$D$16</c:f>
              <c:numCache/>
            </c:numRef>
          </c:val>
        </c:ser>
        <c:axId val="561583350"/>
        <c:axId val="1716226047"/>
      </c:barChart>
      <c:catAx>
        <c:axId val="5615833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Phoeneeks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16226047"/>
      </c:catAx>
      <c:valAx>
        <c:axId val="17162260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158335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12" Type="http://schemas.openxmlformats.org/officeDocument/2006/relationships/chart" Target="../charts/chart12.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19050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26</xdr:row>
      <xdr:rowOff>95250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571500</xdr:colOff>
      <xdr:row>9</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571500</xdr:colOff>
      <xdr:row>26</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44</xdr:row>
      <xdr:rowOff>104775</xdr:rowOff>
    </xdr:from>
    <xdr:ext cx="9201150" cy="393382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96</xdr:row>
      <xdr:rowOff>95250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571500</xdr:colOff>
      <xdr:row>63</xdr:row>
      <xdr:rowOff>200025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9525</xdr:colOff>
      <xdr:row>64</xdr:row>
      <xdr:rowOff>9525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10</xdr:col>
      <xdr:colOff>514350</xdr:colOff>
      <xdr:row>9</xdr:row>
      <xdr:rowOff>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xdr:col>
      <xdr:colOff>447675</xdr:colOff>
      <xdr:row>78</xdr:row>
      <xdr:rowOff>171450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4</xdr:col>
      <xdr:colOff>571500</xdr:colOff>
      <xdr:row>96</xdr:row>
      <xdr:rowOff>57150</xdr:rowOff>
    </xdr:from>
    <xdr:ext cx="5610225" cy="362902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79</xdr:row>
      <xdr:rowOff>9525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257175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7.25"/>
    <col customWidth="1" min="3" max="3" width="17.75"/>
    <col customWidth="1" min="6" max="13" width="19.63"/>
    <col customWidth="1" min="14" max="14" width="20.5"/>
    <col customWidth="1" min="15" max="15" width="24.25"/>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row>
    <row r="2">
      <c r="A2" s="3">
        <v>46208.37640046296</v>
      </c>
      <c r="B2" s="1" t="s">
        <v>24</v>
      </c>
      <c r="C2" s="1" t="s">
        <v>25</v>
      </c>
      <c r="D2" s="1">
        <v>0.0</v>
      </c>
      <c r="E2" s="1" t="s">
        <v>26</v>
      </c>
      <c r="F2" s="4">
        <v>4.0</v>
      </c>
      <c r="G2" s="4">
        <v>2.0</v>
      </c>
      <c r="H2" s="4">
        <v>0.0</v>
      </c>
      <c r="I2" s="4">
        <v>0.0</v>
      </c>
      <c r="J2" s="1">
        <v>4.0</v>
      </c>
      <c r="K2" s="1">
        <v>-1.0</v>
      </c>
      <c r="L2" s="1">
        <v>1.0</v>
      </c>
      <c r="M2" s="1">
        <v>3.0</v>
      </c>
      <c r="N2" s="1">
        <v>3.0</v>
      </c>
      <c r="O2" s="1">
        <v>1.0</v>
      </c>
      <c r="P2" s="1">
        <v>3.0</v>
      </c>
      <c r="Q2" s="1" t="s">
        <v>27</v>
      </c>
      <c r="S2" s="1">
        <v>196.0</v>
      </c>
      <c r="T2" s="1" t="s">
        <v>28</v>
      </c>
      <c r="U2" s="7">
        <f t="array" ref="U2:U642">M2:M642+P2:P642</f>
        <v>6</v>
      </c>
      <c r="V2" s="7">
        <f t="array" ref="V2:V642">N2:N642+O2:O642</f>
        <v>4</v>
      </c>
      <c r="W2" s="7">
        <f t="array" ref="W2:W642">U2:U642-V2:V642+8</f>
        <v>10</v>
      </c>
    </row>
    <row r="3">
      <c r="A3" s="3">
        <v>46208.417025462964</v>
      </c>
      <c r="B3" s="1" t="s">
        <v>29</v>
      </c>
      <c r="C3" s="1" t="s">
        <v>30</v>
      </c>
      <c r="D3" s="1">
        <v>0.0</v>
      </c>
      <c r="E3" s="1" t="s">
        <v>31</v>
      </c>
      <c r="F3" s="4">
        <v>3.0</v>
      </c>
      <c r="G3" s="4">
        <v>1.0</v>
      </c>
      <c r="H3" s="4">
        <v>2.0</v>
      </c>
      <c r="I3" s="4">
        <v>0.0</v>
      </c>
      <c r="J3" s="1">
        <v>6.0</v>
      </c>
      <c r="K3" s="1">
        <v>-2.0</v>
      </c>
      <c r="L3" s="1">
        <v>0.0</v>
      </c>
      <c r="M3" s="1">
        <v>1.0</v>
      </c>
      <c r="N3" s="1">
        <v>3.0</v>
      </c>
      <c r="O3" s="1">
        <v>2.0</v>
      </c>
      <c r="P3" s="1">
        <v>1.0</v>
      </c>
      <c r="Q3" s="1" t="s">
        <v>32</v>
      </c>
      <c r="R3" s="1" t="s">
        <v>33</v>
      </c>
      <c r="S3" s="1">
        <v>736.0</v>
      </c>
      <c r="T3" s="1" t="s">
        <v>34</v>
      </c>
      <c r="U3" s="7">
        <v>2.0</v>
      </c>
      <c r="V3" s="7">
        <v>5.0</v>
      </c>
      <c r="W3" s="7">
        <v>5.0</v>
      </c>
    </row>
    <row r="4">
      <c r="A4" s="3">
        <v>46208.421273148146</v>
      </c>
      <c r="B4" s="1" t="s">
        <v>35</v>
      </c>
      <c r="C4" s="1" t="s">
        <v>36</v>
      </c>
      <c r="D4" s="1">
        <v>0.0</v>
      </c>
      <c r="E4" s="1" t="s">
        <v>37</v>
      </c>
      <c r="F4" s="4">
        <v>0.0</v>
      </c>
      <c r="G4" s="4">
        <v>2.0</v>
      </c>
      <c r="H4" s="4">
        <v>4.0</v>
      </c>
      <c r="I4" s="4">
        <v>0.0</v>
      </c>
      <c r="J4" s="1">
        <v>6.0</v>
      </c>
      <c r="K4" s="1">
        <v>1.0</v>
      </c>
      <c r="L4" s="1">
        <v>1.0</v>
      </c>
      <c r="M4" s="1">
        <v>0.0</v>
      </c>
      <c r="N4" s="1">
        <v>4.0</v>
      </c>
      <c r="O4" s="1">
        <v>4.0</v>
      </c>
      <c r="P4" s="1">
        <v>1.0</v>
      </c>
      <c r="Q4" s="1" t="s">
        <v>38</v>
      </c>
      <c r="R4" s="1" t="s">
        <v>39</v>
      </c>
      <c r="S4" s="1">
        <v>1074.0</v>
      </c>
      <c r="T4" s="1" t="s">
        <v>28</v>
      </c>
      <c r="U4" s="7">
        <v>1.0</v>
      </c>
      <c r="V4" s="7">
        <v>8.0</v>
      </c>
      <c r="W4" s="7">
        <v>1.0</v>
      </c>
    </row>
    <row r="5">
      <c r="A5" s="3">
        <v>46208.42236111111</v>
      </c>
      <c r="B5" s="1" t="s">
        <v>40</v>
      </c>
      <c r="C5" s="1" t="s">
        <v>41</v>
      </c>
      <c r="D5" s="1">
        <v>0.0</v>
      </c>
      <c r="E5" s="1" t="s">
        <v>31</v>
      </c>
      <c r="F5" s="4">
        <v>3.0</v>
      </c>
      <c r="G5" s="4">
        <v>2.0</v>
      </c>
      <c r="H5" s="4">
        <v>1.0</v>
      </c>
      <c r="I5" s="4">
        <v>0.0</v>
      </c>
      <c r="J5" s="1">
        <v>6.0</v>
      </c>
      <c r="K5" s="1">
        <v>1.0</v>
      </c>
      <c r="L5" s="1">
        <v>1.0</v>
      </c>
      <c r="M5" s="1">
        <v>1.0</v>
      </c>
      <c r="N5" s="1">
        <v>3.0</v>
      </c>
      <c r="O5" s="1">
        <v>3.0</v>
      </c>
      <c r="P5" s="1">
        <v>1.0</v>
      </c>
      <c r="Q5" s="1" t="s">
        <v>42</v>
      </c>
      <c r="S5" s="1">
        <v>194.0</v>
      </c>
      <c r="T5" s="1" t="s">
        <v>28</v>
      </c>
      <c r="U5" s="7">
        <v>2.0</v>
      </c>
      <c r="V5" s="7">
        <v>6.0</v>
      </c>
      <c r="W5" s="7">
        <v>4.0</v>
      </c>
    </row>
    <row r="6">
      <c r="A6" s="3">
        <v>46208.43269675926</v>
      </c>
      <c r="B6" s="1" t="s">
        <v>43</v>
      </c>
      <c r="C6" s="1" t="s">
        <v>44</v>
      </c>
      <c r="D6" s="1">
        <v>0.0</v>
      </c>
      <c r="E6" s="1" t="s">
        <v>45</v>
      </c>
      <c r="F6" s="4">
        <v>2.0</v>
      </c>
      <c r="G6" s="4">
        <v>3.0</v>
      </c>
      <c r="H6" s="4">
        <v>1.0</v>
      </c>
      <c r="I6" s="4">
        <v>0.0</v>
      </c>
      <c r="J6" s="1">
        <v>5.0</v>
      </c>
      <c r="K6" s="1">
        <v>1.0</v>
      </c>
      <c r="L6" s="1">
        <v>2.0</v>
      </c>
      <c r="M6" s="1">
        <v>2.0</v>
      </c>
      <c r="N6" s="1">
        <v>3.0</v>
      </c>
      <c r="O6" s="1">
        <v>2.0</v>
      </c>
      <c r="P6" s="1">
        <v>2.0</v>
      </c>
      <c r="Q6" s="1" t="s">
        <v>46</v>
      </c>
      <c r="S6" s="1">
        <v>116.0</v>
      </c>
      <c r="T6" s="1" t="s">
        <v>28</v>
      </c>
      <c r="U6" s="7">
        <v>4.0</v>
      </c>
      <c r="V6" s="7">
        <v>5.0</v>
      </c>
      <c r="W6" s="7">
        <v>7.0</v>
      </c>
    </row>
    <row r="7">
      <c r="A7" s="3">
        <v>46208.435324074075</v>
      </c>
      <c r="B7" s="1" t="s">
        <v>47</v>
      </c>
      <c r="C7" s="1" t="s">
        <v>48</v>
      </c>
      <c r="D7" s="1">
        <v>0.0</v>
      </c>
      <c r="E7" s="1" t="s">
        <v>49</v>
      </c>
      <c r="F7" s="4">
        <v>4.0</v>
      </c>
      <c r="G7" s="4">
        <v>1.0</v>
      </c>
      <c r="H7" s="4">
        <v>1.0</v>
      </c>
      <c r="I7" s="4">
        <v>0.0</v>
      </c>
      <c r="J7" s="1">
        <v>4.0</v>
      </c>
      <c r="K7" s="1">
        <v>-1.0</v>
      </c>
      <c r="L7" s="1">
        <v>1.0</v>
      </c>
      <c r="M7" s="1">
        <v>3.0</v>
      </c>
      <c r="N7" s="1">
        <v>2.0</v>
      </c>
      <c r="O7" s="1">
        <v>2.0</v>
      </c>
      <c r="P7" s="1">
        <v>3.0</v>
      </c>
      <c r="S7" s="1">
        <v>118.0</v>
      </c>
      <c r="T7" s="1" t="s">
        <v>28</v>
      </c>
      <c r="U7" s="7">
        <v>6.0</v>
      </c>
      <c r="V7" s="7">
        <v>4.0</v>
      </c>
      <c r="W7" s="7">
        <v>10.0</v>
      </c>
    </row>
    <row r="8">
      <c r="A8" s="3">
        <v>46208.43577546296</v>
      </c>
      <c r="B8" s="1" t="s">
        <v>50</v>
      </c>
      <c r="C8" s="1" t="s">
        <v>51</v>
      </c>
      <c r="D8" s="1">
        <v>0.0</v>
      </c>
      <c r="E8" s="1" t="s">
        <v>52</v>
      </c>
      <c r="F8" s="4">
        <v>1.0</v>
      </c>
      <c r="G8" s="4">
        <v>4.0</v>
      </c>
      <c r="H8" s="4">
        <v>1.0</v>
      </c>
      <c r="I8" s="4">
        <v>0.0</v>
      </c>
      <c r="J8" s="1">
        <v>5.0</v>
      </c>
      <c r="K8" s="1">
        <v>1.0</v>
      </c>
      <c r="L8" s="1">
        <v>1.0</v>
      </c>
      <c r="M8" s="1">
        <v>1.0</v>
      </c>
      <c r="N8" s="1">
        <v>3.0</v>
      </c>
      <c r="O8" s="1">
        <v>3.0</v>
      </c>
      <c r="P8" s="1">
        <v>1.0</v>
      </c>
      <c r="Q8" s="1" t="s">
        <v>53</v>
      </c>
      <c r="R8" s="1" t="s">
        <v>54</v>
      </c>
      <c r="S8" s="1">
        <v>185.0</v>
      </c>
      <c r="T8" s="1" t="s">
        <v>34</v>
      </c>
      <c r="U8" s="7">
        <v>2.0</v>
      </c>
      <c r="V8" s="7">
        <v>6.0</v>
      </c>
      <c r="W8" s="7">
        <v>4.0</v>
      </c>
    </row>
    <row r="9">
      <c r="A9" s="3">
        <v>46208.46053240741</v>
      </c>
      <c r="B9" s="1" t="s">
        <v>55</v>
      </c>
      <c r="C9" s="1" t="s">
        <v>56</v>
      </c>
      <c r="D9" s="1">
        <v>0.0</v>
      </c>
      <c r="E9" s="1" t="s">
        <v>49</v>
      </c>
      <c r="F9" s="4">
        <v>1.0</v>
      </c>
      <c r="G9" s="4">
        <v>1.0</v>
      </c>
      <c r="H9" s="4">
        <v>2.0</v>
      </c>
      <c r="I9" s="4">
        <v>2.0</v>
      </c>
      <c r="J9" s="1">
        <v>7.0</v>
      </c>
      <c r="K9" s="1">
        <v>2.0</v>
      </c>
      <c r="L9" s="1">
        <v>-2.0</v>
      </c>
      <c r="M9" s="1">
        <v>3.0</v>
      </c>
      <c r="N9" s="1">
        <v>3.0</v>
      </c>
      <c r="O9" s="1">
        <v>3.0</v>
      </c>
      <c r="P9" s="1">
        <v>4.0</v>
      </c>
      <c r="Q9" s="1" t="s">
        <v>57</v>
      </c>
      <c r="S9" s="1">
        <v>133.0</v>
      </c>
      <c r="T9" s="1" t="s">
        <v>34</v>
      </c>
      <c r="U9" s="7">
        <v>7.0</v>
      </c>
      <c r="V9" s="7">
        <v>6.0</v>
      </c>
      <c r="W9" s="7">
        <v>9.0</v>
      </c>
    </row>
    <row r="10">
      <c r="A10" s="3">
        <v>46208.476331018515</v>
      </c>
      <c r="B10" s="1" t="s">
        <v>58</v>
      </c>
      <c r="C10" s="1" t="s">
        <v>59</v>
      </c>
      <c r="D10" s="1">
        <v>0.0</v>
      </c>
      <c r="E10" s="1" t="s">
        <v>52</v>
      </c>
      <c r="F10" s="4">
        <v>2.0</v>
      </c>
      <c r="G10" s="4">
        <v>0.0</v>
      </c>
      <c r="H10" s="4">
        <v>4.0</v>
      </c>
      <c r="I10" s="4">
        <v>0.0</v>
      </c>
      <c r="J10" s="1">
        <v>3.0</v>
      </c>
      <c r="K10" s="1">
        <v>1.0</v>
      </c>
      <c r="L10" s="1">
        <v>1.0</v>
      </c>
      <c r="M10" s="1">
        <v>2.0</v>
      </c>
      <c r="N10" s="1">
        <v>3.0</v>
      </c>
      <c r="O10" s="1">
        <v>3.0</v>
      </c>
      <c r="P10" s="1">
        <v>1.0</v>
      </c>
      <c r="Q10" s="1" t="s">
        <v>60</v>
      </c>
      <c r="S10" s="1">
        <v>127.0</v>
      </c>
      <c r="T10" s="1" t="s">
        <v>28</v>
      </c>
      <c r="U10" s="7">
        <v>3.0</v>
      </c>
      <c r="V10" s="7">
        <v>6.0</v>
      </c>
      <c r="W10" s="7">
        <v>5.0</v>
      </c>
    </row>
    <row r="11">
      <c r="A11" s="3">
        <v>46208.48173611111</v>
      </c>
      <c r="B11" s="1" t="s">
        <v>61</v>
      </c>
      <c r="C11" s="1" t="s">
        <v>62</v>
      </c>
      <c r="D11" s="1">
        <v>0.0</v>
      </c>
      <c r="E11" s="1" t="s">
        <v>52</v>
      </c>
      <c r="F11" s="4">
        <v>1.0</v>
      </c>
      <c r="G11" s="4">
        <v>1.0</v>
      </c>
      <c r="H11" s="4">
        <v>2.0</v>
      </c>
      <c r="I11" s="4">
        <v>2.0</v>
      </c>
      <c r="J11" s="1">
        <v>6.0</v>
      </c>
      <c r="K11" s="1">
        <v>1.0</v>
      </c>
      <c r="L11" s="1">
        <v>-2.0</v>
      </c>
      <c r="M11" s="1">
        <v>4.0</v>
      </c>
      <c r="N11" s="1">
        <v>1.0</v>
      </c>
      <c r="O11" s="1">
        <v>2.0</v>
      </c>
      <c r="P11" s="1">
        <v>4.0</v>
      </c>
      <c r="Q11" s="1" t="s">
        <v>63</v>
      </c>
      <c r="R11" s="1" t="s">
        <v>64</v>
      </c>
      <c r="S11" s="1">
        <v>273.0</v>
      </c>
      <c r="T11" s="1" t="s">
        <v>28</v>
      </c>
      <c r="U11" s="7">
        <v>8.0</v>
      </c>
      <c r="V11" s="7">
        <v>3.0</v>
      </c>
      <c r="W11" s="7">
        <v>13.0</v>
      </c>
    </row>
    <row r="12">
      <c r="A12" s="3">
        <v>46208.54038194445</v>
      </c>
      <c r="B12" s="1" t="s">
        <v>65</v>
      </c>
      <c r="C12" s="1" t="s">
        <v>66</v>
      </c>
      <c r="D12" s="1">
        <v>0.0</v>
      </c>
      <c r="E12" s="1" t="s">
        <v>49</v>
      </c>
      <c r="F12" s="4">
        <v>1.0</v>
      </c>
      <c r="G12" s="4">
        <v>0.0</v>
      </c>
      <c r="H12" s="4">
        <v>1.0</v>
      </c>
      <c r="I12" s="4">
        <v>4.0</v>
      </c>
      <c r="J12" s="1">
        <v>2.0</v>
      </c>
      <c r="K12" s="1">
        <v>-1.0</v>
      </c>
      <c r="L12" s="1">
        <v>0.0</v>
      </c>
      <c r="M12" s="1">
        <v>2.0</v>
      </c>
      <c r="N12" s="1">
        <v>3.0</v>
      </c>
      <c r="O12" s="1">
        <v>2.0</v>
      </c>
      <c r="P12" s="1">
        <v>0.0</v>
      </c>
      <c r="Q12" s="1" t="s">
        <v>67</v>
      </c>
      <c r="S12" s="1">
        <v>150.0</v>
      </c>
      <c r="T12" s="1" t="s">
        <v>34</v>
      </c>
      <c r="U12" s="7">
        <v>2.0</v>
      </c>
      <c r="V12" s="7">
        <v>5.0</v>
      </c>
      <c r="W12" s="7">
        <v>5.0</v>
      </c>
    </row>
    <row r="13">
      <c r="A13" s="3">
        <v>46208.54797453704</v>
      </c>
      <c r="B13" s="1" t="s">
        <v>68</v>
      </c>
      <c r="C13" s="1" t="s">
        <v>69</v>
      </c>
      <c r="D13" s="1">
        <v>0.0</v>
      </c>
      <c r="E13" s="1" t="s">
        <v>49</v>
      </c>
      <c r="F13" s="4">
        <v>0.0</v>
      </c>
      <c r="G13" s="4">
        <v>0.0</v>
      </c>
      <c r="H13" s="4">
        <v>0.0</v>
      </c>
      <c r="I13" s="4">
        <v>6.0</v>
      </c>
      <c r="J13" s="1">
        <v>4.0</v>
      </c>
      <c r="K13" s="1">
        <v>1.0</v>
      </c>
      <c r="L13" s="1">
        <v>1.0</v>
      </c>
      <c r="M13" s="1">
        <v>4.0</v>
      </c>
      <c r="N13" s="1">
        <v>3.0</v>
      </c>
      <c r="O13" s="1">
        <v>4.0</v>
      </c>
      <c r="P13" s="1">
        <v>3.0</v>
      </c>
      <c r="Q13" s="1" t="s">
        <v>70</v>
      </c>
      <c r="S13" s="1">
        <v>118.0</v>
      </c>
      <c r="T13" s="1" t="s">
        <v>34</v>
      </c>
      <c r="U13" s="7">
        <v>7.0</v>
      </c>
      <c r="V13" s="7">
        <v>7.0</v>
      </c>
      <c r="W13" s="7">
        <v>8.0</v>
      </c>
    </row>
    <row r="14">
      <c r="A14" s="3">
        <v>46208.55432870371</v>
      </c>
      <c r="B14" s="1" t="s">
        <v>71</v>
      </c>
      <c r="C14" s="1" t="s">
        <v>72</v>
      </c>
      <c r="D14" s="1">
        <v>0.0</v>
      </c>
      <c r="E14" s="1" t="s">
        <v>31</v>
      </c>
      <c r="F14" s="4">
        <v>1.0</v>
      </c>
      <c r="G14" s="4">
        <v>2.0</v>
      </c>
      <c r="H14" s="4">
        <v>3.0</v>
      </c>
      <c r="I14" s="4">
        <v>0.0</v>
      </c>
      <c r="J14" s="1">
        <v>6.0</v>
      </c>
      <c r="K14" s="1">
        <v>3.0</v>
      </c>
      <c r="L14" s="1">
        <v>0.0</v>
      </c>
      <c r="M14" s="1">
        <v>2.0</v>
      </c>
      <c r="N14" s="1">
        <v>3.0</v>
      </c>
      <c r="O14" s="1">
        <v>3.0</v>
      </c>
      <c r="P14" s="1">
        <v>0.0</v>
      </c>
      <c r="Q14" s="1" t="s">
        <v>73</v>
      </c>
      <c r="R14" s="1" t="s">
        <v>74</v>
      </c>
      <c r="S14" s="1">
        <v>1611.0</v>
      </c>
      <c r="T14" s="1" t="s">
        <v>28</v>
      </c>
      <c r="U14" s="7">
        <v>2.0</v>
      </c>
      <c r="V14" s="7">
        <v>6.0</v>
      </c>
      <c r="W14" s="7">
        <v>4.0</v>
      </c>
    </row>
    <row r="15">
      <c r="A15" s="3">
        <v>46208.61247685185</v>
      </c>
      <c r="B15" s="1" t="s">
        <v>75</v>
      </c>
      <c r="C15" s="1" t="s">
        <v>76</v>
      </c>
      <c r="D15" s="1">
        <v>0.0</v>
      </c>
      <c r="E15" s="1" t="s">
        <v>52</v>
      </c>
      <c r="F15" s="4">
        <v>2.0</v>
      </c>
      <c r="G15" s="4">
        <v>3.0</v>
      </c>
      <c r="H15" s="4">
        <v>1.0</v>
      </c>
      <c r="I15" s="4">
        <v>0.0</v>
      </c>
      <c r="J15" s="1">
        <v>6.0</v>
      </c>
      <c r="K15" s="1">
        <v>2.0</v>
      </c>
      <c r="L15" s="1">
        <v>2.0</v>
      </c>
      <c r="M15" s="1">
        <v>1.0</v>
      </c>
      <c r="N15" s="1">
        <v>3.0</v>
      </c>
      <c r="O15" s="1">
        <v>3.0</v>
      </c>
      <c r="P15" s="1">
        <v>2.0</v>
      </c>
      <c r="Q15" s="1" t="s">
        <v>77</v>
      </c>
      <c r="S15" s="1">
        <v>345.0</v>
      </c>
      <c r="T15" s="1" t="s">
        <v>34</v>
      </c>
      <c r="U15" s="7">
        <v>3.0</v>
      </c>
      <c r="V15" s="7">
        <v>6.0</v>
      </c>
      <c r="W15" s="7">
        <v>5.0</v>
      </c>
    </row>
    <row r="16">
      <c r="A16" s="3">
        <v>46208.62143518519</v>
      </c>
      <c r="B16" s="1" t="s">
        <v>78</v>
      </c>
      <c r="C16" s="1" t="s">
        <v>79</v>
      </c>
      <c r="D16" s="1">
        <v>0.0</v>
      </c>
      <c r="E16" s="1" t="s">
        <v>37</v>
      </c>
      <c r="F16" s="4">
        <v>2.0</v>
      </c>
      <c r="G16" s="4">
        <v>1.0</v>
      </c>
      <c r="H16" s="4">
        <v>1.0</v>
      </c>
      <c r="I16" s="4">
        <v>2.0</v>
      </c>
      <c r="J16" s="1">
        <v>2.0</v>
      </c>
      <c r="K16" s="1">
        <v>-1.0</v>
      </c>
      <c r="L16" s="1">
        <v>0.0</v>
      </c>
      <c r="M16" s="1">
        <v>3.0</v>
      </c>
      <c r="N16" s="1">
        <v>2.0</v>
      </c>
      <c r="O16" s="1">
        <v>1.0</v>
      </c>
      <c r="P16" s="1">
        <v>3.0</v>
      </c>
      <c r="S16" s="1">
        <v>180.0</v>
      </c>
      <c r="T16" s="1" t="s">
        <v>28</v>
      </c>
      <c r="U16" s="7">
        <v>6.0</v>
      </c>
      <c r="V16" s="7">
        <v>3.0</v>
      </c>
      <c r="W16" s="7">
        <v>11.0</v>
      </c>
    </row>
    <row r="17">
      <c r="A17" s="3">
        <v>46208.630381944444</v>
      </c>
      <c r="B17" s="1" t="s">
        <v>80</v>
      </c>
      <c r="C17" s="1" t="s">
        <v>81</v>
      </c>
      <c r="D17" s="1">
        <v>0.0</v>
      </c>
      <c r="E17" s="1" t="s">
        <v>52</v>
      </c>
      <c r="F17" s="4">
        <v>0.0</v>
      </c>
      <c r="G17" s="4">
        <v>0.0</v>
      </c>
      <c r="H17" s="4">
        <v>0.0</v>
      </c>
      <c r="I17" s="4">
        <v>6.0</v>
      </c>
      <c r="J17" s="1">
        <v>4.0</v>
      </c>
      <c r="K17" s="1">
        <v>0.0</v>
      </c>
      <c r="L17" s="1">
        <v>0.0</v>
      </c>
      <c r="M17" s="1">
        <v>1.0</v>
      </c>
      <c r="N17" s="1">
        <v>3.0</v>
      </c>
      <c r="O17" s="1">
        <v>2.0</v>
      </c>
      <c r="P17" s="1">
        <v>2.0</v>
      </c>
      <c r="Q17" s="1" t="s">
        <v>82</v>
      </c>
      <c r="S17" s="1">
        <v>125.0</v>
      </c>
      <c r="T17" s="1" t="s">
        <v>34</v>
      </c>
      <c r="U17" s="7">
        <v>3.0</v>
      </c>
      <c r="V17" s="7">
        <v>5.0</v>
      </c>
      <c r="W17" s="7">
        <v>6.0</v>
      </c>
    </row>
    <row r="18">
      <c r="A18" s="3">
        <v>46208.63229166667</v>
      </c>
      <c r="B18" s="1" t="s">
        <v>83</v>
      </c>
      <c r="C18" s="1" t="s">
        <v>84</v>
      </c>
      <c r="D18" s="1">
        <v>0.0</v>
      </c>
      <c r="E18" s="1" t="s">
        <v>85</v>
      </c>
      <c r="F18" s="4">
        <v>2.0</v>
      </c>
      <c r="G18" s="4">
        <v>1.0</v>
      </c>
      <c r="H18" s="4">
        <v>2.0</v>
      </c>
      <c r="I18" s="4">
        <v>1.0</v>
      </c>
      <c r="J18" s="1">
        <v>6.0</v>
      </c>
      <c r="K18" s="1">
        <v>2.0</v>
      </c>
      <c r="L18" s="1">
        <v>1.0</v>
      </c>
      <c r="M18" s="1">
        <v>1.0</v>
      </c>
      <c r="N18" s="1">
        <v>3.0</v>
      </c>
      <c r="O18" s="1">
        <v>3.0</v>
      </c>
      <c r="P18" s="1">
        <v>1.0</v>
      </c>
      <c r="Q18" s="1" t="s">
        <v>86</v>
      </c>
      <c r="R18" s="1" t="s">
        <v>87</v>
      </c>
      <c r="S18" s="1">
        <v>9401.0</v>
      </c>
      <c r="T18" s="1" t="s">
        <v>28</v>
      </c>
      <c r="U18" s="7">
        <v>2.0</v>
      </c>
      <c r="V18" s="7">
        <v>6.0</v>
      </c>
      <c r="W18" s="7">
        <v>4.0</v>
      </c>
    </row>
    <row r="19">
      <c r="A19" s="3">
        <v>46208.6371875</v>
      </c>
      <c r="B19" s="1" t="s">
        <v>88</v>
      </c>
      <c r="C19" s="1" t="s">
        <v>89</v>
      </c>
      <c r="D19" s="1">
        <v>0.0</v>
      </c>
      <c r="E19" s="1" t="s">
        <v>90</v>
      </c>
      <c r="F19" s="4">
        <v>2.0</v>
      </c>
      <c r="G19" s="4">
        <v>3.0</v>
      </c>
      <c r="H19" s="4">
        <v>1.0</v>
      </c>
      <c r="I19" s="4">
        <v>0.0</v>
      </c>
      <c r="J19" s="1">
        <v>5.0</v>
      </c>
      <c r="K19" s="1">
        <v>1.0</v>
      </c>
      <c r="L19" s="1">
        <v>-2.0</v>
      </c>
      <c r="M19" s="1">
        <v>3.0</v>
      </c>
      <c r="N19" s="1">
        <v>2.0</v>
      </c>
      <c r="O19" s="1">
        <v>0.0</v>
      </c>
      <c r="P19" s="1">
        <v>1.0</v>
      </c>
      <c r="Q19" s="1" t="s">
        <v>91</v>
      </c>
      <c r="R19" s="1" t="s">
        <v>92</v>
      </c>
      <c r="S19" s="1">
        <v>192.0</v>
      </c>
      <c r="T19" s="1" t="s">
        <v>34</v>
      </c>
      <c r="U19" s="7">
        <v>4.0</v>
      </c>
      <c r="V19" s="7">
        <v>2.0</v>
      </c>
      <c r="W19" s="7">
        <v>10.0</v>
      </c>
    </row>
    <row r="20">
      <c r="A20" s="3">
        <v>46208.64173611111</v>
      </c>
      <c r="B20" s="1" t="s">
        <v>93</v>
      </c>
      <c r="C20" s="1" t="s">
        <v>94</v>
      </c>
      <c r="D20" s="1">
        <v>0.0</v>
      </c>
      <c r="E20" s="1" t="s">
        <v>90</v>
      </c>
      <c r="F20" s="4">
        <v>3.0</v>
      </c>
      <c r="G20" s="4">
        <v>0.0</v>
      </c>
      <c r="H20" s="4">
        <v>1.0</v>
      </c>
      <c r="I20" s="4">
        <v>2.0</v>
      </c>
      <c r="J20" s="1">
        <v>2.0</v>
      </c>
      <c r="K20" s="1">
        <v>0.0</v>
      </c>
      <c r="L20" s="1">
        <v>2.0</v>
      </c>
      <c r="M20" s="1">
        <v>2.0</v>
      </c>
      <c r="N20" s="1">
        <v>2.0</v>
      </c>
      <c r="O20" s="1">
        <v>1.0</v>
      </c>
      <c r="P20" s="1">
        <v>3.0</v>
      </c>
      <c r="S20" s="1">
        <v>164.0</v>
      </c>
      <c r="T20" s="1" t="s">
        <v>34</v>
      </c>
      <c r="U20" s="7">
        <v>5.0</v>
      </c>
      <c r="V20" s="7">
        <v>3.0</v>
      </c>
      <c r="W20" s="7">
        <v>10.0</v>
      </c>
    </row>
    <row r="21">
      <c r="A21" s="3">
        <v>46208.6737037037</v>
      </c>
      <c r="B21" s="1" t="s">
        <v>95</v>
      </c>
      <c r="C21" s="1" t="s">
        <v>96</v>
      </c>
      <c r="D21" s="1">
        <v>0.0</v>
      </c>
      <c r="E21" s="1" t="s">
        <v>90</v>
      </c>
      <c r="F21" s="4">
        <v>3.0</v>
      </c>
      <c r="G21" s="4">
        <v>3.0</v>
      </c>
      <c r="H21" s="4">
        <v>0.0</v>
      </c>
      <c r="I21" s="4">
        <v>0.0</v>
      </c>
      <c r="J21" s="1">
        <v>5.0</v>
      </c>
      <c r="K21" s="1">
        <v>2.0</v>
      </c>
      <c r="L21" s="1">
        <v>3.0</v>
      </c>
      <c r="M21" s="1">
        <v>3.0</v>
      </c>
      <c r="N21" s="1">
        <v>2.0</v>
      </c>
      <c r="O21" s="1">
        <v>3.0</v>
      </c>
      <c r="P21" s="1">
        <v>1.0</v>
      </c>
      <c r="S21" s="1">
        <v>81.0</v>
      </c>
      <c r="T21" s="1" t="s">
        <v>28</v>
      </c>
      <c r="U21" s="7">
        <v>4.0</v>
      </c>
      <c r="V21" s="7">
        <v>5.0</v>
      </c>
      <c r="W21" s="7">
        <v>7.0</v>
      </c>
    </row>
    <row r="22">
      <c r="A22" s="3">
        <v>46208.69119212963</v>
      </c>
      <c r="B22" s="1" t="s">
        <v>97</v>
      </c>
      <c r="C22" s="1" t="s">
        <v>98</v>
      </c>
      <c r="D22" s="1">
        <v>0.0</v>
      </c>
      <c r="E22" s="1" t="s">
        <v>26</v>
      </c>
      <c r="F22" s="4">
        <v>1.0</v>
      </c>
      <c r="G22" s="4">
        <v>3.0</v>
      </c>
      <c r="H22" s="4">
        <v>2.0</v>
      </c>
      <c r="I22" s="4">
        <v>0.0</v>
      </c>
      <c r="J22" s="1">
        <v>5.0</v>
      </c>
      <c r="K22" s="1">
        <v>1.0</v>
      </c>
      <c r="L22" s="1">
        <v>0.0</v>
      </c>
      <c r="M22" s="1">
        <v>1.0</v>
      </c>
      <c r="N22" s="1">
        <v>4.0</v>
      </c>
      <c r="O22" s="1">
        <v>3.0</v>
      </c>
      <c r="P22" s="1">
        <v>0.0</v>
      </c>
      <c r="Q22" s="1" t="s">
        <v>99</v>
      </c>
      <c r="S22" s="1">
        <v>150.0</v>
      </c>
      <c r="T22" s="1" t="s">
        <v>28</v>
      </c>
      <c r="U22" s="7">
        <v>1.0</v>
      </c>
      <c r="V22" s="7">
        <v>7.0</v>
      </c>
      <c r="W22" s="7">
        <v>2.0</v>
      </c>
    </row>
    <row r="23">
      <c r="A23" s="3">
        <v>46208.704421296294</v>
      </c>
      <c r="B23" s="1" t="s">
        <v>100</v>
      </c>
      <c r="C23" s="1" t="s">
        <v>101</v>
      </c>
      <c r="D23" s="1">
        <v>0.0</v>
      </c>
      <c r="E23" s="1" t="s">
        <v>102</v>
      </c>
      <c r="F23" s="4">
        <v>3.0</v>
      </c>
      <c r="G23" s="4">
        <v>0.0</v>
      </c>
      <c r="H23" s="4">
        <v>3.0</v>
      </c>
      <c r="I23" s="4">
        <v>0.0</v>
      </c>
      <c r="J23" s="1">
        <v>1.0</v>
      </c>
      <c r="K23" s="1">
        <v>-3.0</v>
      </c>
      <c r="L23" s="1">
        <v>3.0</v>
      </c>
      <c r="M23" s="1">
        <v>3.0</v>
      </c>
      <c r="N23" s="1">
        <v>3.0</v>
      </c>
      <c r="O23" s="1">
        <v>2.0</v>
      </c>
      <c r="P23" s="1">
        <v>2.0</v>
      </c>
      <c r="Q23" s="1" t="s">
        <v>103</v>
      </c>
      <c r="R23" s="1" t="s">
        <v>104</v>
      </c>
      <c r="S23" s="1">
        <v>302.0</v>
      </c>
      <c r="T23" s="1" t="s">
        <v>34</v>
      </c>
      <c r="U23" s="7">
        <v>5.0</v>
      </c>
      <c r="V23" s="7">
        <v>5.0</v>
      </c>
      <c r="W23" s="7">
        <v>8.0</v>
      </c>
    </row>
    <row r="24">
      <c r="A24" s="3">
        <v>46208.715266203704</v>
      </c>
      <c r="B24" s="1" t="s">
        <v>105</v>
      </c>
      <c r="C24" s="1" t="s">
        <v>106</v>
      </c>
      <c r="D24" s="1">
        <v>0.0</v>
      </c>
      <c r="E24" s="1" t="s">
        <v>90</v>
      </c>
      <c r="F24" s="4">
        <v>2.0</v>
      </c>
      <c r="G24" s="4">
        <v>1.0</v>
      </c>
      <c r="H24" s="4">
        <v>3.0</v>
      </c>
      <c r="I24" s="4">
        <v>0.0</v>
      </c>
      <c r="J24" s="1">
        <v>5.0</v>
      </c>
      <c r="K24" s="1">
        <v>0.0</v>
      </c>
      <c r="L24" s="1">
        <v>-2.0</v>
      </c>
      <c r="M24" s="1">
        <v>2.0</v>
      </c>
      <c r="N24" s="1">
        <v>2.0</v>
      </c>
      <c r="O24" s="1">
        <v>3.0</v>
      </c>
      <c r="P24" s="1">
        <v>1.0</v>
      </c>
      <c r="S24" s="1">
        <v>145.0</v>
      </c>
      <c r="T24" s="1" t="s">
        <v>28</v>
      </c>
      <c r="U24" s="7">
        <v>3.0</v>
      </c>
      <c r="V24" s="7">
        <v>5.0</v>
      </c>
      <c r="W24" s="7">
        <v>6.0</v>
      </c>
    </row>
    <row r="25">
      <c r="A25" s="3">
        <v>46208.87328703704</v>
      </c>
      <c r="B25" s="1" t="s">
        <v>107</v>
      </c>
      <c r="C25" s="1" t="s">
        <v>108</v>
      </c>
      <c r="D25" s="1">
        <v>0.0</v>
      </c>
      <c r="E25" s="1" t="s">
        <v>52</v>
      </c>
      <c r="F25" s="4">
        <v>3.0</v>
      </c>
      <c r="G25" s="4">
        <v>1.0</v>
      </c>
      <c r="H25" s="4">
        <v>1.0</v>
      </c>
      <c r="I25" s="4">
        <v>1.0</v>
      </c>
      <c r="J25" s="1">
        <v>5.0</v>
      </c>
      <c r="K25" s="1">
        <v>-1.0</v>
      </c>
      <c r="L25" s="1">
        <v>1.0</v>
      </c>
      <c r="M25" s="1">
        <v>1.0</v>
      </c>
      <c r="N25" s="1">
        <v>3.0</v>
      </c>
      <c r="O25" s="1">
        <v>3.0</v>
      </c>
      <c r="P25" s="1">
        <v>1.0</v>
      </c>
      <c r="Q25" s="1" t="s">
        <v>110</v>
      </c>
      <c r="S25" s="1">
        <v>527.0</v>
      </c>
      <c r="T25" s="1" t="s">
        <v>28</v>
      </c>
      <c r="U25" s="7">
        <v>2.0</v>
      </c>
      <c r="V25" s="7">
        <v>6.0</v>
      </c>
      <c r="W25" s="7">
        <v>4.0</v>
      </c>
    </row>
    <row r="26">
      <c r="A26" s="3">
        <v>46208.90372685185</v>
      </c>
      <c r="B26" s="1" t="s">
        <v>112</v>
      </c>
      <c r="C26" s="1" t="s">
        <v>114</v>
      </c>
      <c r="D26" s="1">
        <v>0.0</v>
      </c>
      <c r="E26" s="1" t="s">
        <v>90</v>
      </c>
      <c r="F26" s="4">
        <v>2.0</v>
      </c>
      <c r="G26" s="4">
        <v>2.0</v>
      </c>
      <c r="H26" s="4">
        <v>1.0</v>
      </c>
      <c r="I26" s="4">
        <v>1.0</v>
      </c>
      <c r="J26" s="1">
        <v>6.0</v>
      </c>
      <c r="K26" s="1">
        <v>-2.0</v>
      </c>
      <c r="L26" s="1">
        <v>2.0</v>
      </c>
      <c r="M26" s="1">
        <v>2.0</v>
      </c>
      <c r="N26" s="1">
        <v>2.0</v>
      </c>
      <c r="O26" s="1">
        <v>2.0</v>
      </c>
      <c r="P26" s="1">
        <v>2.0</v>
      </c>
      <c r="Q26" s="1" t="s">
        <v>117</v>
      </c>
      <c r="R26" s="1" t="s">
        <v>118</v>
      </c>
      <c r="S26" s="1">
        <v>1370.0</v>
      </c>
      <c r="T26" s="1" t="s">
        <v>34</v>
      </c>
      <c r="U26" s="7">
        <v>4.0</v>
      </c>
      <c r="V26" s="7">
        <v>4.0</v>
      </c>
      <c r="W26" s="7">
        <v>8.0</v>
      </c>
    </row>
    <row r="27">
      <c r="A27" s="3">
        <v>46208.95657407407</v>
      </c>
      <c r="B27" s="1" t="s">
        <v>119</v>
      </c>
      <c r="C27" s="1" t="s">
        <v>120</v>
      </c>
      <c r="D27" s="1">
        <v>0.0</v>
      </c>
      <c r="E27" s="1" t="s">
        <v>49</v>
      </c>
      <c r="F27" s="4">
        <v>2.0</v>
      </c>
      <c r="G27" s="4">
        <v>1.0</v>
      </c>
      <c r="H27" s="4">
        <v>3.0</v>
      </c>
      <c r="I27" s="4">
        <v>0.0</v>
      </c>
      <c r="J27" s="1">
        <v>5.0</v>
      </c>
      <c r="K27" s="1">
        <v>-1.0</v>
      </c>
      <c r="L27" s="1">
        <v>1.0</v>
      </c>
      <c r="M27" s="1">
        <v>4.0</v>
      </c>
      <c r="N27" s="1">
        <v>2.0</v>
      </c>
      <c r="O27" s="1">
        <v>1.0</v>
      </c>
      <c r="P27" s="1">
        <v>4.0</v>
      </c>
      <c r="Q27" s="1" t="s">
        <v>121</v>
      </c>
      <c r="R27" s="1" t="s">
        <v>122</v>
      </c>
      <c r="S27" s="1">
        <v>210.0</v>
      </c>
      <c r="T27" s="1" t="s">
        <v>34</v>
      </c>
      <c r="U27" s="7">
        <v>8.0</v>
      </c>
      <c r="V27" s="7">
        <v>3.0</v>
      </c>
      <c r="W27" s="7">
        <v>13.0</v>
      </c>
    </row>
    <row r="28">
      <c r="A28" s="3">
        <v>46209.33576388889</v>
      </c>
      <c r="B28" s="1" t="s">
        <v>123</v>
      </c>
      <c r="C28" s="1" t="s">
        <v>124</v>
      </c>
      <c r="D28" s="1">
        <v>0.0</v>
      </c>
      <c r="E28" s="1" t="s">
        <v>102</v>
      </c>
      <c r="F28" s="4">
        <v>2.0</v>
      </c>
      <c r="G28" s="4">
        <v>1.0</v>
      </c>
      <c r="H28" s="4">
        <v>1.0</v>
      </c>
      <c r="I28" s="4">
        <v>2.0</v>
      </c>
      <c r="J28" s="1">
        <v>5.0</v>
      </c>
      <c r="K28" s="1">
        <v>1.0</v>
      </c>
      <c r="L28" s="1">
        <v>0.0</v>
      </c>
      <c r="M28" s="1">
        <v>3.0</v>
      </c>
      <c r="N28" s="1">
        <v>3.0</v>
      </c>
      <c r="O28" s="1">
        <v>1.0</v>
      </c>
      <c r="P28" s="1">
        <v>3.0</v>
      </c>
      <c r="Q28" s="1" t="s">
        <v>125</v>
      </c>
      <c r="R28" s="1" t="s">
        <v>126</v>
      </c>
      <c r="S28" s="1">
        <v>331.0</v>
      </c>
      <c r="T28" s="1" t="s">
        <v>34</v>
      </c>
      <c r="U28" s="7">
        <v>6.0</v>
      </c>
      <c r="V28" s="7">
        <v>4.0</v>
      </c>
      <c r="W28" s="7">
        <v>10.0</v>
      </c>
    </row>
    <row r="29">
      <c r="A29" s="3">
        <v>46209.35496527778</v>
      </c>
      <c r="B29" s="1" t="s">
        <v>127</v>
      </c>
      <c r="C29" s="1" t="s">
        <v>128</v>
      </c>
      <c r="D29" s="1">
        <v>0.0</v>
      </c>
      <c r="E29" s="1" t="s">
        <v>49</v>
      </c>
      <c r="F29" s="4">
        <v>2.0</v>
      </c>
      <c r="G29" s="4">
        <v>2.0</v>
      </c>
      <c r="H29" s="4">
        <v>2.0</v>
      </c>
      <c r="I29" s="4">
        <v>0.0</v>
      </c>
      <c r="J29" s="1">
        <v>4.0</v>
      </c>
      <c r="K29" s="1">
        <v>0.0</v>
      </c>
      <c r="L29" s="1">
        <v>2.0</v>
      </c>
      <c r="M29" s="1">
        <v>3.0</v>
      </c>
      <c r="N29" s="1">
        <v>2.0</v>
      </c>
      <c r="O29" s="1">
        <v>1.0</v>
      </c>
      <c r="P29" s="1">
        <v>3.0</v>
      </c>
      <c r="Q29" s="1" t="s">
        <v>129</v>
      </c>
      <c r="S29" s="1">
        <v>48724.0</v>
      </c>
      <c r="T29" s="1" t="s">
        <v>34</v>
      </c>
      <c r="U29" s="7">
        <v>6.0</v>
      </c>
      <c r="V29" s="7">
        <v>3.0</v>
      </c>
      <c r="W29" s="7">
        <v>11.0</v>
      </c>
    </row>
    <row r="30">
      <c r="A30" s="3">
        <v>46209.388969907406</v>
      </c>
      <c r="B30" s="1" t="s">
        <v>130</v>
      </c>
      <c r="C30" s="1" t="s">
        <v>131</v>
      </c>
      <c r="D30" s="1">
        <v>0.0</v>
      </c>
      <c r="E30" s="1" t="s">
        <v>90</v>
      </c>
      <c r="F30" s="4">
        <v>2.0</v>
      </c>
      <c r="G30" s="4">
        <v>1.0</v>
      </c>
      <c r="H30" s="4">
        <v>2.0</v>
      </c>
      <c r="I30" s="4">
        <v>1.0</v>
      </c>
      <c r="J30" s="1">
        <v>6.0</v>
      </c>
      <c r="K30" s="1">
        <v>3.0</v>
      </c>
      <c r="L30" s="1">
        <v>1.0</v>
      </c>
      <c r="M30" s="1">
        <v>2.0</v>
      </c>
      <c r="N30" s="1">
        <v>3.0</v>
      </c>
      <c r="O30" s="1">
        <v>3.0</v>
      </c>
      <c r="P30" s="1">
        <v>2.0</v>
      </c>
      <c r="S30" s="1">
        <v>88.0</v>
      </c>
      <c r="T30" s="1" t="s">
        <v>34</v>
      </c>
      <c r="U30" s="7">
        <v>4.0</v>
      </c>
      <c r="V30" s="7">
        <v>6.0</v>
      </c>
      <c r="W30" s="7">
        <v>6.0</v>
      </c>
    </row>
    <row r="31">
      <c r="A31" s="3">
        <v>46209.44795138889</v>
      </c>
      <c r="B31" s="1" t="s">
        <v>132</v>
      </c>
      <c r="C31" s="1" t="s">
        <v>133</v>
      </c>
      <c r="D31" s="1">
        <v>0.0</v>
      </c>
      <c r="E31" s="1" t="s">
        <v>90</v>
      </c>
      <c r="F31" s="4">
        <v>2.0</v>
      </c>
      <c r="G31" s="4">
        <v>1.0</v>
      </c>
      <c r="H31" s="4">
        <v>2.0</v>
      </c>
      <c r="I31" s="4">
        <v>1.0</v>
      </c>
      <c r="J31" s="1">
        <v>5.0</v>
      </c>
      <c r="K31" s="1">
        <v>0.0</v>
      </c>
      <c r="L31" s="1">
        <v>2.0</v>
      </c>
      <c r="M31" s="1">
        <v>3.0</v>
      </c>
      <c r="N31" s="1">
        <v>2.0</v>
      </c>
      <c r="O31" s="1">
        <v>2.0</v>
      </c>
      <c r="P31" s="1">
        <v>3.0</v>
      </c>
      <c r="Q31" s="1" t="s">
        <v>134</v>
      </c>
      <c r="S31" s="1">
        <v>219.0</v>
      </c>
      <c r="T31" s="1" t="s">
        <v>28</v>
      </c>
      <c r="U31" s="7">
        <v>6.0</v>
      </c>
      <c r="V31" s="7">
        <v>4.0</v>
      </c>
      <c r="W31" s="7">
        <v>10.0</v>
      </c>
    </row>
    <row r="32">
      <c r="A32" s="3">
        <v>46209.4928125</v>
      </c>
      <c r="B32" s="1" t="s">
        <v>135</v>
      </c>
      <c r="C32" s="1" t="s">
        <v>136</v>
      </c>
      <c r="D32" s="1">
        <v>0.0</v>
      </c>
      <c r="E32" s="1" t="s">
        <v>90</v>
      </c>
      <c r="F32" s="4">
        <v>1.0</v>
      </c>
      <c r="G32" s="4">
        <v>1.0</v>
      </c>
      <c r="H32" s="4">
        <v>2.0</v>
      </c>
      <c r="I32" s="4">
        <v>2.0</v>
      </c>
      <c r="J32" s="1">
        <v>5.0</v>
      </c>
      <c r="K32" s="1">
        <v>0.0</v>
      </c>
      <c r="L32" s="1">
        <v>0.0</v>
      </c>
      <c r="M32" s="1">
        <v>1.0</v>
      </c>
      <c r="N32" s="1">
        <v>3.0</v>
      </c>
      <c r="O32" s="1">
        <v>3.0</v>
      </c>
      <c r="P32" s="1">
        <v>1.0</v>
      </c>
      <c r="Q32" s="1" t="s">
        <v>137</v>
      </c>
      <c r="R32" s="1" t="s">
        <v>138</v>
      </c>
      <c r="S32" s="1">
        <v>360.0</v>
      </c>
      <c r="T32" s="1" t="s">
        <v>28</v>
      </c>
      <c r="U32" s="7">
        <v>2.0</v>
      </c>
      <c r="V32" s="7">
        <v>6.0</v>
      </c>
      <c r="W32" s="7">
        <v>4.0</v>
      </c>
    </row>
    <row r="33">
      <c r="A33" s="3">
        <v>46209.68572916667</v>
      </c>
      <c r="B33" s="1" t="s">
        <v>139</v>
      </c>
      <c r="C33" s="1" t="s">
        <v>140</v>
      </c>
      <c r="D33" s="1">
        <v>0.0</v>
      </c>
      <c r="E33" s="1" t="s">
        <v>102</v>
      </c>
      <c r="F33" s="4">
        <v>1.0</v>
      </c>
      <c r="G33" s="4">
        <v>1.0</v>
      </c>
      <c r="H33" s="4">
        <v>1.0</v>
      </c>
      <c r="I33" s="4">
        <v>3.0</v>
      </c>
      <c r="J33" s="1">
        <v>5.0</v>
      </c>
      <c r="K33" s="1">
        <v>1.0</v>
      </c>
      <c r="L33" s="1">
        <v>-3.0</v>
      </c>
      <c r="M33" s="1">
        <v>3.0</v>
      </c>
      <c r="N33" s="1">
        <v>3.0</v>
      </c>
      <c r="O33" s="1">
        <v>1.0</v>
      </c>
      <c r="P33" s="1">
        <v>2.0</v>
      </c>
      <c r="Q33" s="1" t="s">
        <v>141</v>
      </c>
      <c r="R33" s="1" t="s">
        <v>142</v>
      </c>
      <c r="S33" s="1">
        <v>596.0</v>
      </c>
      <c r="T33" s="1" t="s">
        <v>34</v>
      </c>
      <c r="U33" s="7">
        <v>5.0</v>
      </c>
      <c r="V33" s="7">
        <v>4.0</v>
      </c>
      <c r="W33" s="7">
        <v>9.0</v>
      </c>
    </row>
    <row r="34">
      <c r="A34" s="3">
        <v>46209.91358796296</v>
      </c>
      <c r="B34" s="1" t="s">
        <v>143</v>
      </c>
      <c r="C34" s="1" t="s">
        <v>144</v>
      </c>
      <c r="D34" s="1">
        <v>0.0</v>
      </c>
      <c r="E34" s="1" t="s">
        <v>52</v>
      </c>
      <c r="F34" s="4">
        <v>2.0</v>
      </c>
      <c r="G34" s="4">
        <v>2.0</v>
      </c>
      <c r="H34" s="4">
        <v>2.0</v>
      </c>
      <c r="I34" s="4">
        <v>0.0</v>
      </c>
      <c r="J34" s="1">
        <v>6.0</v>
      </c>
      <c r="K34" s="1">
        <v>2.0</v>
      </c>
      <c r="L34" s="1">
        <v>1.0</v>
      </c>
      <c r="M34" s="1">
        <v>3.0</v>
      </c>
      <c r="N34" s="1">
        <v>1.0</v>
      </c>
      <c r="O34" s="1">
        <v>1.0</v>
      </c>
      <c r="P34" s="1">
        <v>2.0</v>
      </c>
      <c r="Q34" s="1" t="s">
        <v>145</v>
      </c>
      <c r="R34" s="1" t="s">
        <v>146</v>
      </c>
      <c r="S34" s="1">
        <v>438.0</v>
      </c>
      <c r="T34" s="1" t="s">
        <v>28</v>
      </c>
      <c r="U34" s="7">
        <v>5.0</v>
      </c>
      <c r="V34" s="7">
        <v>2.0</v>
      </c>
      <c r="W34" s="7">
        <v>11.0</v>
      </c>
    </row>
    <row r="35">
      <c r="A35" s="3">
        <v>46209.963912037034</v>
      </c>
      <c r="B35" s="1" t="s">
        <v>148</v>
      </c>
      <c r="C35" s="1" t="s">
        <v>149</v>
      </c>
      <c r="D35" s="1">
        <v>0.0</v>
      </c>
      <c r="E35" s="1" t="s">
        <v>52</v>
      </c>
      <c r="F35" s="4">
        <v>0.0</v>
      </c>
      <c r="G35" s="4">
        <v>0.0</v>
      </c>
      <c r="H35" s="4">
        <v>2.0</v>
      </c>
      <c r="I35" s="4">
        <v>4.0</v>
      </c>
      <c r="J35" s="1">
        <v>4.0</v>
      </c>
      <c r="K35" s="1">
        <v>1.0</v>
      </c>
      <c r="L35" s="1">
        <v>-3.0</v>
      </c>
      <c r="M35" s="1">
        <v>0.0</v>
      </c>
      <c r="N35" s="1">
        <v>3.0</v>
      </c>
      <c r="O35" s="1">
        <v>3.0</v>
      </c>
      <c r="P35" s="1">
        <v>1.0</v>
      </c>
      <c r="Q35" s="1" t="s">
        <v>150</v>
      </c>
      <c r="S35" s="1">
        <v>656.0</v>
      </c>
      <c r="T35" s="1" t="s">
        <v>34</v>
      </c>
      <c r="U35" s="7">
        <v>1.0</v>
      </c>
      <c r="V35" s="7">
        <v>6.0</v>
      </c>
      <c r="W35" s="7">
        <v>3.0</v>
      </c>
    </row>
    <row r="36">
      <c r="A36" s="3">
        <v>46210.318923611114</v>
      </c>
      <c r="B36" s="1" t="s">
        <v>151</v>
      </c>
      <c r="C36" s="1" t="s">
        <v>152</v>
      </c>
      <c r="D36" s="1">
        <v>0.0</v>
      </c>
      <c r="E36" s="1" t="s">
        <v>31</v>
      </c>
      <c r="F36" s="4">
        <v>2.0</v>
      </c>
      <c r="G36" s="4">
        <v>1.0</v>
      </c>
      <c r="H36" s="4">
        <v>3.0</v>
      </c>
      <c r="I36" s="4">
        <v>0.0</v>
      </c>
      <c r="J36" s="1">
        <v>4.0</v>
      </c>
      <c r="K36" s="1">
        <v>1.0</v>
      </c>
      <c r="L36" s="1">
        <v>-1.0</v>
      </c>
      <c r="M36" s="1">
        <v>2.0</v>
      </c>
      <c r="N36" s="1">
        <v>3.0</v>
      </c>
      <c r="O36" s="1">
        <v>2.0</v>
      </c>
      <c r="P36" s="1">
        <v>3.0</v>
      </c>
      <c r="S36" s="1">
        <v>46.0</v>
      </c>
      <c r="T36" s="1" t="s">
        <v>28</v>
      </c>
      <c r="U36" s="7">
        <v>5.0</v>
      </c>
      <c r="V36" s="7">
        <v>5.0</v>
      </c>
      <c r="W36" s="7">
        <v>8.0</v>
      </c>
    </row>
    <row r="37">
      <c r="A37" s="3">
        <v>46210.3331712963</v>
      </c>
      <c r="B37" s="1" t="s">
        <v>153</v>
      </c>
      <c r="C37" s="1" t="s">
        <v>154</v>
      </c>
      <c r="D37" s="1">
        <v>0.0</v>
      </c>
      <c r="E37" s="1" t="s">
        <v>37</v>
      </c>
      <c r="F37" s="4">
        <v>1.0</v>
      </c>
      <c r="G37" s="4">
        <v>2.0</v>
      </c>
      <c r="H37" s="4">
        <v>1.0</v>
      </c>
      <c r="I37" s="4">
        <v>2.0</v>
      </c>
      <c r="J37" s="1">
        <v>5.0</v>
      </c>
      <c r="K37" s="1">
        <v>1.0</v>
      </c>
      <c r="L37" s="1">
        <v>1.0</v>
      </c>
      <c r="M37" s="1">
        <v>1.0</v>
      </c>
      <c r="N37" s="1">
        <v>3.0</v>
      </c>
      <c r="O37" s="1">
        <v>4.0</v>
      </c>
      <c r="P37" s="1">
        <v>1.0</v>
      </c>
      <c r="Q37" s="1" t="s">
        <v>155</v>
      </c>
      <c r="S37" s="1">
        <v>98.0</v>
      </c>
      <c r="T37" s="1" t="s">
        <v>28</v>
      </c>
      <c r="U37" s="7">
        <v>2.0</v>
      </c>
      <c r="V37" s="7">
        <v>7.0</v>
      </c>
      <c r="W37" s="7">
        <v>3.0</v>
      </c>
    </row>
    <row r="38">
      <c r="A38" s="3">
        <v>46210.460011574076</v>
      </c>
      <c r="B38" s="1" t="s">
        <v>156</v>
      </c>
      <c r="C38" s="1" t="s">
        <v>157</v>
      </c>
      <c r="D38" s="1">
        <v>0.0</v>
      </c>
      <c r="E38" s="1" t="s">
        <v>90</v>
      </c>
      <c r="F38" s="4">
        <v>0.0</v>
      </c>
      <c r="G38" s="4">
        <v>1.0</v>
      </c>
      <c r="H38" s="4">
        <v>4.0</v>
      </c>
      <c r="I38" s="4">
        <v>1.0</v>
      </c>
      <c r="J38" s="1">
        <v>5.0</v>
      </c>
      <c r="K38" s="1">
        <v>1.0</v>
      </c>
      <c r="L38" s="1">
        <v>-3.0</v>
      </c>
      <c r="M38" s="1">
        <v>1.0</v>
      </c>
      <c r="N38" s="1">
        <v>3.0</v>
      </c>
      <c r="O38" s="1">
        <v>2.0</v>
      </c>
      <c r="P38" s="1">
        <v>1.0</v>
      </c>
      <c r="Q38" s="1" t="s">
        <v>158</v>
      </c>
      <c r="S38" s="1">
        <v>410.0</v>
      </c>
      <c r="T38" s="1" t="s">
        <v>34</v>
      </c>
      <c r="U38" s="7">
        <v>2.0</v>
      </c>
      <c r="V38" s="7">
        <v>5.0</v>
      </c>
      <c r="W38" s="7">
        <v>5.0</v>
      </c>
    </row>
    <row r="39">
      <c r="A39" s="3">
        <v>46210.48231481481</v>
      </c>
      <c r="B39" s="1" t="s">
        <v>159</v>
      </c>
      <c r="C39" s="1" t="s">
        <v>160</v>
      </c>
      <c r="D39" s="1">
        <v>0.0</v>
      </c>
      <c r="E39" s="1" t="s">
        <v>85</v>
      </c>
      <c r="F39" s="4">
        <v>3.0</v>
      </c>
      <c r="G39" s="4">
        <v>1.0</v>
      </c>
      <c r="H39" s="4">
        <v>2.0</v>
      </c>
      <c r="I39" s="4">
        <v>0.0</v>
      </c>
      <c r="J39" s="1">
        <v>3.0</v>
      </c>
      <c r="K39" s="1">
        <v>0.0</v>
      </c>
      <c r="L39" s="1">
        <v>-1.0</v>
      </c>
      <c r="M39" s="1">
        <v>2.0</v>
      </c>
      <c r="N39" s="1">
        <v>1.0</v>
      </c>
      <c r="O39" s="1">
        <v>2.0</v>
      </c>
      <c r="P39" s="1">
        <v>2.0</v>
      </c>
      <c r="S39" s="1">
        <v>70.0</v>
      </c>
      <c r="T39" s="1" t="s">
        <v>28</v>
      </c>
      <c r="U39" s="7">
        <v>4.0</v>
      </c>
      <c r="V39" s="7">
        <v>3.0</v>
      </c>
      <c r="W39" s="7">
        <v>9.0</v>
      </c>
    </row>
    <row r="40">
      <c r="A40" s="3">
        <v>46210.51526620371</v>
      </c>
      <c r="B40" s="1" t="s">
        <v>161</v>
      </c>
      <c r="C40" s="1" t="s">
        <v>162</v>
      </c>
      <c r="D40" s="1">
        <v>0.0</v>
      </c>
      <c r="E40" s="1" t="s">
        <v>49</v>
      </c>
      <c r="F40" s="4">
        <v>3.0</v>
      </c>
      <c r="G40" s="4">
        <v>1.0</v>
      </c>
      <c r="H40" s="4">
        <v>2.0</v>
      </c>
      <c r="I40" s="4">
        <v>0.0</v>
      </c>
      <c r="J40" s="1">
        <v>5.0</v>
      </c>
      <c r="K40" s="1">
        <v>1.0</v>
      </c>
      <c r="L40" s="1">
        <v>0.0</v>
      </c>
      <c r="M40" s="1">
        <v>3.0</v>
      </c>
      <c r="N40" s="1">
        <v>3.0</v>
      </c>
      <c r="O40" s="1">
        <v>2.0</v>
      </c>
      <c r="P40" s="1">
        <v>2.0</v>
      </c>
      <c r="Q40" s="1" t="s">
        <v>164</v>
      </c>
      <c r="S40" s="1">
        <v>474.0</v>
      </c>
      <c r="T40" s="1" t="s">
        <v>28</v>
      </c>
      <c r="U40" s="7">
        <v>5.0</v>
      </c>
      <c r="V40" s="7">
        <v>5.0</v>
      </c>
      <c r="W40" s="7">
        <v>8.0</v>
      </c>
    </row>
    <row r="41">
      <c r="A41" s="3">
        <v>46210.55221064815</v>
      </c>
      <c r="B41" s="1" t="s">
        <v>165</v>
      </c>
      <c r="C41" s="1" t="s">
        <v>166</v>
      </c>
      <c r="D41" s="1">
        <v>0.0</v>
      </c>
      <c r="E41" s="1" t="s">
        <v>37</v>
      </c>
      <c r="F41" s="4">
        <v>2.0</v>
      </c>
      <c r="G41" s="4">
        <v>2.0</v>
      </c>
      <c r="H41" s="4">
        <v>2.0</v>
      </c>
      <c r="I41" s="4">
        <v>0.0</v>
      </c>
      <c r="J41" s="1">
        <v>4.0</v>
      </c>
      <c r="K41" s="1">
        <v>1.0</v>
      </c>
      <c r="L41" s="1">
        <v>1.0</v>
      </c>
      <c r="M41" s="1">
        <v>3.0</v>
      </c>
      <c r="N41" s="1">
        <v>3.0</v>
      </c>
      <c r="O41" s="1">
        <v>1.0</v>
      </c>
      <c r="P41" s="1">
        <v>4.0</v>
      </c>
      <c r="Q41" s="1" t="s">
        <v>167</v>
      </c>
      <c r="S41" s="1">
        <v>166.0</v>
      </c>
      <c r="T41" s="1" t="s">
        <v>28</v>
      </c>
      <c r="U41" s="7">
        <v>7.0</v>
      </c>
      <c r="V41" s="7">
        <v>4.0</v>
      </c>
      <c r="W41" s="7">
        <v>11.0</v>
      </c>
    </row>
    <row r="42">
      <c r="A42" s="3">
        <v>46210.934895833336</v>
      </c>
      <c r="B42" s="1" t="s">
        <v>168</v>
      </c>
      <c r="C42" s="1" t="s">
        <v>169</v>
      </c>
      <c r="D42" s="1">
        <v>0.0</v>
      </c>
      <c r="E42" s="1" t="s">
        <v>26</v>
      </c>
      <c r="F42" s="4">
        <v>1.0</v>
      </c>
      <c r="G42" s="4">
        <v>3.0</v>
      </c>
      <c r="H42" s="4">
        <v>2.0</v>
      </c>
      <c r="I42" s="4">
        <v>0.0</v>
      </c>
      <c r="J42" s="1">
        <v>6.0</v>
      </c>
      <c r="K42" s="1">
        <v>1.0</v>
      </c>
      <c r="L42" s="1">
        <v>-1.0</v>
      </c>
      <c r="M42" s="1">
        <v>2.0</v>
      </c>
      <c r="N42" s="1">
        <v>4.0</v>
      </c>
      <c r="O42" s="1">
        <v>3.0</v>
      </c>
      <c r="P42" s="1">
        <v>1.0</v>
      </c>
      <c r="S42" s="1">
        <v>129.0</v>
      </c>
      <c r="T42" s="1" t="s">
        <v>34</v>
      </c>
      <c r="U42" s="7">
        <v>3.0</v>
      </c>
      <c r="V42" s="7">
        <v>7.0</v>
      </c>
      <c r="W42" s="7">
        <v>4.0</v>
      </c>
    </row>
    <row r="43">
      <c r="A43" s="3">
        <v>46211.174733796295</v>
      </c>
      <c r="B43" s="1" t="s">
        <v>170</v>
      </c>
      <c r="C43" s="1" t="s">
        <v>171</v>
      </c>
      <c r="D43" s="1">
        <v>0.0</v>
      </c>
      <c r="E43" s="1" t="s">
        <v>90</v>
      </c>
      <c r="F43" s="4">
        <v>1.0</v>
      </c>
      <c r="G43" s="4">
        <v>1.0</v>
      </c>
      <c r="H43" s="4">
        <v>3.0</v>
      </c>
      <c r="I43" s="4">
        <v>1.0</v>
      </c>
      <c r="J43" s="1">
        <v>3.0</v>
      </c>
      <c r="K43" s="1">
        <v>-1.0</v>
      </c>
      <c r="L43" s="1">
        <v>-2.0</v>
      </c>
      <c r="M43" s="1">
        <v>2.0</v>
      </c>
      <c r="N43" s="1">
        <v>3.0</v>
      </c>
      <c r="O43" s="1">
        <v>2.0</v>
      </c>
      <c r="P43" s="1">
        <v>3.0</v>
      </c>
      <c r="Q43" s="1" t="s">
        <v>173</v>
      </c>
      <c r="S43" s="1">
        <v>257.0</v>
      </c>
      <c r="T43" s="1" t="s">
        <v>34</v>
      </c>
      <c r="U43" s="7">
        <v>5.0</v>
      </c>
      <c r="V43" s="7">
        <v>5.0</v>
      </c>
      <c r="W43" s="7">
        <v>8.0</v>
      </c>
    </row>
    <row r="44">
      <c r="A44" s="3">
        <v>46211.47039351852</v>
      </c>
      <c r="B44" s="1" t="s">
        <v>174</v>
      </c>
      <c r="C44" s="1" t="s">
        <v>175</v>
      </c>
      <c r="D44" s="1">
        <v>0.0</v>
      </c>
      <c r="E44" s="1" t="s">
        <v>102</v>
      </c>
      <c r="F44" s="4">
        <v>5.0</v>
      </c>
      <c r="G44" s="4">
        <v>1.0</v>
      </c>
      <c r="H44" s="4">
        <v>0.0</v>
      </c>
      <c r="I44" s="4">
        <v>0.0</v>
      </c>
      <c r="J44" s="1">
        <v>5.0</v>
      </c>
      <c r="K44" s="1">
        <v>-1.0</v>
      </c>
      <c r="L44" s="1">
        <v>2.0</v>
      </c>
      <c r="M44" s="1">
        <v>3.0</v>
      </c>
      <c r="N44" s="1">
        <v>1.0</v>
      </c>
      <c r="O44" s="1">
        <v>1.0</v>
      </c>
      <c r="P44" s="1">
        <v>3.0</v>
      </c>
      <c r="S44" s="1">
        <v>72406.0</v>
      </c>
      <c r="T44" s="1" t="s">
        <v>34</v>
      </c>
      <c r="U44" s="7">
        <v>6.0</v>
      </c>
      <c r="V44" s="7">
        <v>2.0</v>
      </c>
      <c r="W44" s="7">
        <v>12.0</v>
      </c>
    </row>
    <row r="45">
      <c r="A45" s="3">
        <v>46211.668171296296</v>
      </c>
      <c r="B45" s="1" t="s">
        <v>176</v>
      </c>
      <c r="C45" s="1" t="s">
        <v>177</v>
      </c>
      <c r="D45" s="1">
        <v>0.0</v>
      </c>
      <c r="E45" s="1" t="s">
        <v>26</v>
      </c>
      <c r="F45" s="4">
        <v>0.0</v>
      </c>
      <c r="G45" s="4">
        <v>0.0</v>
      </c>
      <c r="H45" s="4">
        <v>6.0</v>
      </c>
      <c r="I45" s="4">
        <v>0.0</v>
      </c>
      <c r="J45" s="1">
        <v>6.0</v>
      </c>
      <c r="K45" s="1">
        <v>0.0</v>
      </c>
      <c r="L45" s="1">
        <v>-3.0</v>
      </c>
      <c r="M45" s="1">
        <v>3.0</v>
      </c>
      <c r="N45" s="1">
        <v>2.0</v>
      </c>
      <c r="O45" s="1">
        <v>2.0</v>
      </c>
      <c r="P45" s="1">
        <v>1.0</v>
      </c>
      <c r="S45" s="1">
        <v>74.0</v>
      </c>
      <c r="T45" s="1" t="s">
        <v>34</v>
      </c>
      <c r="U45" s="7">
        <v>4.0</v>
      </c>
      <c r="V45" s="7">
        <v>4.0</v>
      </c>
      <c r="W45" s="7">
        <v>8.0</v>
      </c>
    </row>
    <row r="46">
      <c r="A46" s="3">
        <v>46211.67219907408</v>
      </c>
      <c r="B46" s="1" t="s">
        <v>178</v>
      </c>
      <c r="C46" s="1" t="s">
        <v>179</v>
      </c>
      <c r="D46" s="1">
        <v>0.0</v>
      </c>
      <c r="E46" s="1" t="s">
        <v>49</v>
      </c>
      <c r="F46" s="4">
        <v>1.0</v>
      </c>
      <c r="G46" s="4">
        <v>2.0</v>
      </c>
      <c r="H46" s="4">
        <v>2.0</v>
      </c>
      <c r="I46" s="4">
        <v>1.0</v>
      </c>
      <c r="J46" s="1">
        <v>6.0</v>
      </c>
      <c r="K46" s="1">
        <v>1.0</v>
      </c>
      <c r="L46" s="1">
        <v>-2.0</v>
      </c>
      <c r="M46" s="1">
        <v>3.0</v>
      </c>
      <c r="N46" s="1">
        <v>2.0</v>
      </c>
      <c r="O46" s="1">
        <v>2.0</v>
      </c>
      <c r="P46" s="1">
        <v>1.0</v>
      </c>
      <c r="S46" s="1">
        <v>113.0</v>
      </c>
      <c r="T46" s="1" t="s">
        <v>34</v>
      </c>
      <c r="U46" s="7">
        <v>4.0</v>
      </c>
      <c r="V46" s="7">
        <v>4.0</v>
      </c>
      <c r="W46" s="7">
        <v>8.0</v>
      </c>
    </row>
    <row r="47">
      <c r="A47" s="3">
        <v>46211.67811342593</v>
      </c>
      <c r="B47" s="1" t="s">
        <v>180</v>
      </c>
      <c r="C47" s="1" t="s">
        <v>181</v>
      </c>
      <c r="D47" s="1">
        <v>0.0</v>
      </c>
      <c r="E47" s="1" t="s">
        <v>37</v>
      </c>
      <c r="F47" s="4">
        <v>1.0</v>
      </c>
      <c r="G47" s="4">
        <v>1.0</v>
      </c>
      <c r="H47" s="4">
        <v>0.0</v>
      </c>
      <c r="I47" s="4">
        <v>4.0</v>
      </c>
      <c r="J47" s="1">
        <v>1.0</v>
      </c>
      <c r="K47" s="1">
        <v>-2.0</v>
      </c>
      <c r="L47" s="1">
        <v>0.0</v>
      </c>
      <c r="M47" s="1">
        <v>4.0</v>
      </c>
      <c r="N47" s="1">
        <v>1.0</v>
      </c>
      <c r="O47" s="1">
        <v>1.0</v>
      </c>
      <c r="P47" s="1">
        <v>3.0</v>
      </c>
      <c r="S47" s="1">
        <v>177.0</v>
      </c>
      <c r="T47" s="1" t="s">
        <v>34</v>
      </c>
      <c r="U47" s="7">
        <v>7.0</v>
      </c>
      <c r="V47" s="7">
        <v>2.0</v>
      </c>
      <c r="W47" s="7">
        <v>13.0</v>
      </c>
    </row>
    <row r="48">
      <c r="A48" s="3">
        <v>46211.68609953704</v>
      </c>
      <c r="B48" s="1" t="s">
        <v>182</v>
      </c>
      <c r="C48" s="1" t="s">
        <v>183</v>
      </c>
      <c r="D48" s="1">
        <v>0.0</v>
      </c>
      <c r="E48" s="1" t="s">
        <v>184</v>
      </c>
      <c r="F48" s="4">
        <v>1.0</v>
      </c>
      <c r="G48" s="4">
        <v>3.0</v>
      </c>
      <c r="H48" s="4">
        <v>2.0</v>
      </c>
      <c r="I48" s="4">
        <v>0.0</v>
      </c>
      <c r="J48" s="1">
        <v>5.0</v>
      </c>
      <c r="K48" s="1">
        <v>1.0</v>
      </c>
      <c r="L48" s="1">
        <v>0.0</v>
      </c>
      <c r="M48" s="1">
        <v>3.0</v>
      </c>
      <c r="N48" s="1">
        <v>3.0</v>
      </c>
      <c r="O48" s="1">
        <v>2.0</v>
      </c>
      <c r="P48" s="1">
        <v>1.0</v>
      </c>
      <c r="S48" s="1">
        <v>70.0</v>
      </c>
      <c r="T48" s="1" t="s">
        <v>28</v>
      </c>
      <c r="U48" s="7">
        <v>4.0</v>
      </c>
      <c r="V48" s="7">
        <v>5.0</v>
      </c>
      <c r="W48" s="7">
        <v>7.0</v>
      </c>
    </row>
    <row r="49">
      <c r="A49" s="3">
        <v>46211.689791666664</v>
      </c>
      <c r="B49" s="1" t="s">
        <v>186</v>
      </c>
      <c r="C49" s="1" t="s">
        <v>187</v>
      </c>
      <c r="D49" s="1">
        <v>0.0</v>
      </c>
      <c r="E49" s="1" t="s">
        <v>184</v>
      </c>
      <c r="F49" s="4">
        <v>3.0</v>
      </c>
      <c r="G49" s="4">
        <v>1.0</v>
      </c>
      <c r="H49" s="4">
        <v>2.0</v>
      </c>
      <c r="I49" s="4">
        <v>0.0</v>
      </c>
      <c r="J49" s="1">
        <v>5.0</v>
      </c>
      <c r="K49" s="1">
        <v>0.0</v>
      </c>
      <c r="L49" s="1">
        <v>-1.0</v>
      </c>
      <c r="M49" s="1">
        <v>3.0</v>
      </c>
      <c r="N49" s="1">
        <v>3.0</v>
      </c>
      <c r="O49" s="1">
        <v>3.0</v>
      </c>
      <c r="P49" s="1">
        <v>1.0</v>
      </c>
      <c r="S49" s="1">
        <v>79.0</v>
      </c>
      <c r="T49" s="1" t="s">
        <v>28</v>
      </c>
      <c r="U49" s="7">
        <v>4.0</v>
      </c>
      <c r="V49" s="7">
        <v>6.0</v>
      </c>
      <c r="W49" s="7">
        <v>6.0</v>
      </c>
    </row>
    <row r="50">
      <c r="A50" s="3">
        <v>46211.69131944444</v>
      </c>
      <c r="B50" s="1" t="s">
        <v>188</v>
      </c>
      <c r="C50" s="1" t="s">
        <v>189</v>
      </c>
      <c r="D50" s="1">
        <v>0.0</v>
      </c>
      <c r="E50" s="1" t="s">
        <v>184</v>
      </c>
      <c r="F50" s="4">
        <v>5.0</v>
      </c>
      <c r="G50" s="4">
        <v>1.0</v>
      </c>
      <c r="H50" s="4">
        <v>0.0</v>
      </c>
      <c r="I50" s="4">
        <v>0.0</v>
      </c>
      <c r="J50" s="1">
        <v>1.0</v>
      </c>
      <c r="K50" s="1">
        <v>0.0</v>
      </c>
      <c r="L50" s="1">
        <v>3.0</v>
      </c>
      <c r="M50" s="1">
        <v>0.0</v>
      </c>
      <c r="N50" s="1">
        <v>3.0</v>
      </c>
      <c r="O50" s="1">
        <v>0.0</v>
      </c>
      <c r="P50" s="1">
        <v>0.0</v>
      </c>
      <c r="S50" s="1">
        <v>45.0</v>
      </c>
      <c r="T50" s="1" t="s">
        <v>34</v>
      </c>
      <c r="U50" s="7">
        <v>0.0</v>
      </c>
      <c r="V50" s="7">
        <v>3.0</v>
      </c>
      <c r="W50" s="7">
        <v>5.0</v>
      </c>
    </row>
    <row r="51">
      <c r="A51" s="3">
        <v>46211.692094907405</v>
      </c>
      <c r="B51" s="1" t="s">
        <v>190</v>
      </c>
      <c r="C51" s="1" t="s">
        <v>191</v>
      </c>
      <c r="D51" s="1">
        <v>0.0</v>
      </c>
      <c r="E51" s="1" t="s">
        <v>192</v>
      </c>
      <c r="F51" s="4">
        <v>0.0</v>
      </c>
      <c r="G51" s="4">
        <v>1.0</v>
      </c>
      <c r="H51" s="4">
        <v>5.0</v>
      </c>
      <c r="I51" s="4">
        <v>0.0</v>
      </c>
      <c r="J51" s="1">
        <v>5.0</v>
      </c>
      <c r="K51" s="1">
        <v>-2.0</v>
      </c>
      <c r="L51" s="1">
        <v>-2.0</v>
      </c>
      <c r="M51" s="1">
        <v>2.0</v>
      </c>
      <c r="N51" s="1">
        <v>3.0</v>
      </c>
      <c r="O51" s="1">
        <v>3.0</v>
      </c>
      <c r="P51" s="1">
        <v>2.0</v>
      </c>
      <c r="S51" s="1">
        <v>78.0</v>
      </c>
      <c r="T51" s="1" t="s">
        <v>28</v>
      </c>
      <c r="U51" s="7">
        <v>4.0</v>
      </c>
      <c r="V51" s="7">
        <v>6.0</v>
      </c>
      <c r="W51" s="7">
        <v>6.0</v>
      </c>
    </row>
    <row r="52">
      <c r="A52" s="3">
        <v>46211.69755787037</v>
      </c>
      <c r="B52" s="1" t="s">
        <v>193</v>
      </c>
      <c r="C52" s="1" t="s">
        <v>194</v>
      </c>
      <c r="D52" s="1">
        <v>0.0</v>
      </c>
      <c r="E52" s="1" t="s">
        <v>184</v>
      </c>
      <c r="F52" s="4">
        <v>1.0</v>
      </c>
      <c r="G52" s="4">
        <v>0.0</v>
      </c>
      <c r="H52" s="4">
        <v>5.0</v>
      </c>
      <c r="I52" s="4">
        <v>0.0</v>
      </c>
      <c r="J52" s="1">
        <v>7.0</v>
      </c>
      <c r="K52" s="1">
        <v>3.0</v>
      </c>
      <c r="L52" s="1">
        <v>0.0</v>
      </c>
      <c r="M52" s="1">
        <v>2.0</v>
      </c>
      <c r="N52" s="1">
        <v>2.0</v>
      </c>
      <c r="O52" s="1">
        <v>2.0</v>
      </c>
      <c r="P52" s="1">
        <v>2.0</v>
      </c>
      <c r="S52" s="1">
        <v>36.0</v>
      </c>
      <c r="T52" s="1" t="s">
        <v>28</v>
      </c>
      <c r="U52" s="7">
        <v>4.0</v>
      </c>
      <c r="V52" s="7">
        <v>4.0</v>
      </c>
      <c r="W52" s="7">
        <v>8.0</v>
      </c>
    </row>
    <row r="53">
      <c r="A53" s="3">
        <v>46211.705104166664</v>
      </c>
      <c r="B53" s="1" t="s">
        <v>195</v>
      </c>
      <c r="C53" s="1" t="s">
        <v>196</v>
      </c>
      <c r="D53" s="1">
        <v>0.0</v>
      </c>
      <c r="E53" s="1" t="s">
        <v>184</v>
      </c>
      <c r="F53" s="4">
        <v>2.0</v>
      </c>
      <c r="G53" s="4">
        <v>2.0</v>
      </c>
      <c r="H53" s="4">
        <v>2.0</v>
      </c>
      <c r="I53" s="4">
        <v>0.0</v>
      </c>
      <c r="J53" s="1">
        <v>3.0</v>
      </c>
      <c r="K53" s="1">
        <v>-2.0</v>
      </c>
      <c r="L53" s="1">
        <v>0.0</v>
      </c>
      <c r="M53" s="1">
        <v>1.0</v>
      </c>
      <c r="N53" s="1">
        <v>4.0</v>
      </c>
      <c r="O53" s="1">
        <v>1.0</v>
      </c>
      <c r="P53" s="1">
        <v>0.0</v>
      </c>
      <c r="Q53" s="1" t="s">
        <v>198</v>
      </c>
      <c r="S53" s="1">
        <v>1032.0</v>
      </c>
      <c r="T53" s="1" t="s">
        <v>28</v>
      </c>
      <c r="U53" s="7">
        <v>1.0</v>
      </c>
      <c r="V53" s="7">
        <v>5.0</v>
      </c>
      <c r="W53" s="7">
        <v>4.0</v>
      </c>
    </row>
    <row r="54">
      <c r="A54" s="3">
        <v>46211.705358796295</v>
      </c>
      <c r="B54" s="1" t="s">
        <v>199</v>
      </c>
      <c r="C54" s="1" t="s">
        <v>200</v>
      </c>
      <c r="D54" s="1">
        <v>0.0</v>
      </c>
      <c r="E54" s="1" t="s">
        <v>184</v>
      </c>
      <c r="F54" s="4">
        <v>0.0</v>
      </c>
      <c r="G54" s="4">
        <v>3.0</v>
      </c>
      <c r="H54" s="4">
        <v>3.0</v>
      </c>
      <c r="I54" s="4">
        <v>0.0</v>
      </c>
      <c r="J54" s="1">
        <v>6.0</v>
      </c>
      <c r="K54" s="1">
        <v>0.0</v>
      </c>
      <c r="L54" s="1">
        <v>-2.0</v>
      </c>
      <c r="M54" s="1">
        <v>1.0</v>
      </c>
      <c r="N54" s="1">
        <v>4.0</v>
      </c>
      <c r="O54" s="1">
        <v>3.0</v>
      </c>
      <c r="P54" s="1">
        <v>0.0</v>
      </c>
      <c r="Q54" s="1" t="s">
        <v>201</v>
      </c>
      <c r="S54" s="1">
        <v>294.0</v>
      </c>
      <c r="T54" s="1" t="s">
        <v>28</v>
      </c>
      <c r="U54" s="7">
        <v>1.0</v>
      </c>
      <c r="V54" s="7">
        <v>7.0</v>
      </c>
      <c r="W54" s="7">
        <v>2.0</v>
      </c>
    </row>
    <row r="55">
      <c r="A55" s="3">
        <v>46211.707291666666</v>
      </c>
      <c r="B55" s="1" t="s">
        <v>202</v>
      </c>
      <c r="C55" s="1" t="s">
        <v>203</v>
      </c>
      <c r="D55" s="1">
        <v>0.0</v>
      </c>
      <c r="E55" s="1" t="s">
        <v>192</v>
      </c>
      <c r="F55" s="4">
        <v>1.0</v>
      </c>
      <c r="G55" s="4">
        <v>2.0</v>
      </c>
      <c r="H55" s="4">
        <v>3.0</v>
      </c>
      <c r="I55" s="4">
        <v>0.0</v>
      </c>
      <c r="J55" s="1">
        <v>5.0</v>
      </c>
      <c r="K55" s="1">
        <v>-1.0</v>
      </c>
      <c r="L55" s="1">
        <v>0.0</v>
      </c>
      <c r="M55" s="1">
        <v>1.0</v>
      </c>
      <c r="N55" s="1">
        <v>3.0</v>
      </c>
      <c r="O55" s="1">
        <v>3.0</v>
      </c>
      <c r="P55" s="1">
        <v>1.0</v>
      </c>
      <c r="Q55" s="1" t="s">
        <v>204</v>
      </c>
      <c r="S55" s="1">
        <v>158.0</v>
      </c>
      <c r="T55" s="1" t="s">
        <v>28</v>
      </c>
      <c r="U55" s="7">
        <v>2.0</v>
      </c>
      <c r="V55" s="7">
        <v>6.0</v>
      </c>
      <c r="W55" s="7">
        <v>4.0</v>
      </c>
    </row>
    <row r="56">
      <c r="A56" s="3">
        <v>46211.72416666667</v>
      </c>
      <c r="B56" s="1" t="s">
        <v>205</v>
      </c>
      <c r="C56" s="1" t="s">
        <v>206</v>
      </c>
      <c r="D56" s="1">
        <v>0.0</v>
      </c>
      <c r="E56" s="1" t="s">
        <v>192</v>
      </c>
      <c r="F56" s="4">
        <v>6.0</v>
      </c>
      <c r="G56" s="4">
        <v>0.0</v>
      </c>
      <c r="H56" s="4">
        <v>0.0</v>
      </c>
      <c r="I56" s="4">
        <v>0.0</v>
      </c>
      <c r="J56" s="1">
        <v>1.0</v>
      </c>
      <c r="K56" s="1">
        <v>0.0</v>
      </c>
      <c r="L56" s="1">
        <v>3.0</v>
      </c>
      <c r="M56" s="1">
        <v>4.0</v>
      </c>
      <c r="N56" s="1">
        <v>0.0</v>
      </c>
      <c r="O56" s="1">
        <v>1.0</v>
      </c>
      <c r="P56" s="1">
        <v>3.0</v>
      </c>
      <c r="S56" s="1">
        <v>57.0</v>
      </c>
      <c r="T56" s="1" t="s">
        <v>28</v>
      </c>
      <c r="U56" s="7">
        <v>7.0</v>
      </c>
      <c r="V56" s="7">
        <v>1.0</v>
      </c>
      <c r="W56" s="7">
        <v>14.0</v>
      </c>
    </row>
    <row r="57">
      <c r="A57" s="3">
        <v>46211.731469907405</v>
      </c>
      <c r="B57" s="1" t="s">
        <v>207</v>
      </c>
      <c r="C57" s="1" t="s">
        <v>208</v>
      </c>
      <c r="D57" s="1">
        <v>0.0</v>
      </c>
      <c r="E57" s="1" t="s">
        <v>192</v>
      </c>
      <c r="F57" s="4">
        <v>2.0</v>
      </c>
      <c r="G57" s="4">
        <v>3.0</v>
      </c>
      <c r="H57" s="4">
        <v>1.0</v>
      </c>
      <c r="I57" s="4">
        <v>0.0</v>
      </c>
      <c r="J57" s="1">
        <v>6.0</v>
      </c>
      <c r="K57" s="1">
        <v>1.0</v>
      </c>
      <c r="L57" s="1">
        <v>0.0</v>
      </c>
      <c r="M57" s="1">
        <v>3.0</v>
      </c>
      <c r="N57" s="1">
        <v>3.0</v>
      </c>
      <c r="O57" s="1">
        <v>2.0</v>
      </c>
      <c r="P57" s="1">
        <v>2.0</v>
      </c>
      <c r="Q57" s="1" t="s">
        <v>209</v>
      </c>
      <c r="S57" s="1">
        <v>121.0</v>
      </c>
      <c r="T57" s="1" t="s">
        <v>28</v>
      </c>
      <c r="U57" s="7">
        <v>5.0</v>
      </c>
      <c r="V57" s="7">
        <v>5.0</v>
      </c>
      <c r="W57" s="7">
        <v>8.0</v>
      </c>
    </row>
    <row r="58">
      <c r="A58" s="3">
        <v>46211.73520833333</v>
      </c>
      <c r="B58" s="1" t="s">
        <v>210</v>
      </c>
      <c r="C58" s="1" t="s">
        <v>211</v>
      </c>
      <c r="D58" s="1">
        <v>0.0</v>
      </c>
      <c r="E58" s="1" t="s">
        <v>184</v>
      </c>
      <c r="F58" s="4">
        <v>0.0</v>
      </c>
      <c r="G58" s="4">
        <v>3.0</v>
      </c>
      <c r="H58" s="4">
        <v>3.0</v>
      </c>
      <c r="I58" s="4">
        <v>0.0</v>
      </c>
      <c r="J58" s="1">
        <v>6.0</v>
      </c>
      <c r="K58" s="1">
        <v>2.0</v>
      </c>
      <c r="L58" s="1">
        <v>0.0</v>
      </c>
      <c r="M58" s="1">
        <v>1.0</v>
      </c>
      <c r="N58" s="1">
        <v>4.0</v>
      </c>
      <c r="O58" s="1">
        <v>3.0</v>
      </c>
      <c r="P58" s="1">
        <v>0.0</v>
      </c>
      <c r="Q58" s="1" t="s">
        <v>213</v>
      </c>
      <c r="S58" s="1">
        <v>107.0</v>
      </c>
      <c r="T58" s="1" t="s">
        <v>28</v>
      </c>
      <c r="U58" s="7">
        <v>1.0</v>
      </c>
      <c r="V58" s="7">
        <v>7.0</v>
      </c>
      <c r="W58" s="7">
        <v>2.0</v>
      </c>
    </row>
    <row r="59">
      <c r="A59" s="3">
        <v>46211.74271990741</v>
      </c>
      <c r="B59" s="1" t="s">
        <v>214</v>
      </c>
      <c r="C59" s="1" t="s">
        <v>215</v>
      </c>
      <c r="D59" s="1">
        <v>0.0</v>
      </c>
      <c r="E59" s="1" t="s">
        <v>192</v>
      </c>
      <c r="F59" s="4">
        <v>2.0</v>
      </c>
      <c r="G59" s="4">
        <v>2.0</v>
      </c>
      <c r="H59" s="4">
        <v>2.0</v>
      </c>
      <c r="I59" s="4">
        <v>0.0</v>
      </c>
      <c r="J59" s="1">
        <v>7.0</v>
      </c>
      <c r="K59" s="1">
        <v>2.0</v>
      </c>
      <c r="L59" s="1">
        <v>0.0</v>
      </c>
      <c r="M59" s="1">
        <v>1.0</v>
      </c>
      <c r="N59" s="1">
        <v>3.0</v>
      </c>
      <c r="O59" s="1">
        <v>3.0</v>
      </c>
      <c r="P59" s="1">
        <v>0.0</v>
      </c>
      <c r="S59" s="1">
        <v>4508.0</v>
      </c>
      <c r="T59" s="1" t="s">
        <v>34</v>
      </c>
      <c r="U59" s="7">
        <v>1.0</v>
      </c>
      <c r="V59" s="7">
        <v>6.0</v>
      </c>
      <c r="W59" s="7">
        <v>3.0</v>
      </c>
    </row>
    <row r="60">
      <c r="A60" s="3">
        <v>46211.75517361111</v>
      </c>
      <c r="B60" s="1" t="s">
        <v>216</v>
      </c>
      <c r="C60" s="1" t="s">
        <v>217</v>
      </c>
      <c r="D60" s="1">
        <v>0.0</v>
      </c>
      <c r="E60" s="1" t="s">
        <v>102</v>
      </c>
      <c r="F60" s="4">
        <v>3.0</v>
      </c>
      <c r="G60" s="4">
        <v>2.0</v>
      </c>
      <c r="H60" s="4">
        <v>1.0</v>
      </c>
      <c r="I60" s="4">
        <v>0.0</v>
      </c>
      <c r="J60" s="1">
        <v>6.0</v>
      </c>
      <c r="K60" s="1">
        <v>2.0</v>
      </c>
      <c r="L60" s="1">
        <v>2.0</v>
      </c>
      <c r="M60" s="1">
        <v>2.0</v>
      </c>
      <c r="N60" s="1">
        <v>3.0</v>
      </c>
      <c r="O60" s="1">
        <v>2.0</v>
      </c>
      <c r="P60" s="1">
        <v>1.0</v>
      </c>
      <c r="Q60" s="1" t="s">
        <v>218</v>
      </c>
      <c r="S60" s="1">
        <v>356.0</v>
      </c>
      <c r="T60" s="1" t="s">
        <v>34</v>
      </c>
      <c r="U60" s="7">
        <v>3.0</v>
      </c>
      <c r="V60" s="7">
        <v>5.0</v>
      </c>
      <c r="W60" s="7">
        <v>6.0</v>
      </c>
    </row>
    <row r="61">
      <c r="A61" s="3">
        <v>46211.76008101852</v>
      </c>
      <c r="B61" s="1" t="s">
        <v>219</v>
      </c>
      <c r="C61" s="1" t="s">
        <v>220</v>
      </c>
      <c r="D61" s="1">
        <v>0.0</v>
      </c>
      <c r="E61" s="1" t="s">
        <v>192</v>
      </c>
      <c r="F61" s="4">
        <v>2.0</v>
      </c>
      <c r="G61" s="4">
        <v>2.0</v>
      </c>
      <c r="H61" s="4">
        <v>2.0</v>
      </c>
      <c r="I61" s="4">
        <v>0.0</v>
      </c>
      <c r="J61" s="1">
        <v>2.0</v>
      </c>
      <c r="K61" s="1">
        <v>-2.0</v>
      </c>
      <c r="L61" s="1">
        <v>2.0</v>
      </c>
      <c r="M61" s="1">
        <v>2.0</v>
      </c>
      <c r="N61" s="1">
        <v>2.0</v>
      </c>
      <c r="O61" s="1">
        <v>2.0</v>
      </c>
      <c r="P61" s="1">
        <v>3.0</v>
      </c>
      <c r="Q61" s="1" t="s">
        <v>221</v>
      </c>
      <c r="R61" s="1" t="s">
        <v>222</v>
      </c>
      <c r="S61" s="1">
        <v>120.0</v>
      </c>
      <c r="T61" s="1" t="s">
        <v>28</v>
      </c>
      <c r="U61" s="7">
        <v>5.0</v>
      </c>
      <c r="V61" s="7">
        <v>4.0</v>
      </c>
      <c r="W61" s="7">
        <v>9.0</v>
      </c>
    </row>
    <row r="62">
      <c r="A62" s="3">
        <v>46211.78549768519</v>
      </c>
      <c r="B62" s="1" t="s">
        <v>223</v>
      </c>
      <c r="C62" s="1" t="s">
        <v>224</v>
      </c>
      <c r="D62" s="1">
        <v>0.0</v>
      </c>
      <c r="E62" s="1" t="s">
        <v>192</v>
      </c>
      <c r="F62" s="4">
        <v>1.0</v>
      </c>
      <c r="G62" s="4">
        <v>2.0</v>
      </c>
      <c r="H62" s="4">
        <v>3.0</v>
      </c>
      <c r="I62" s="4">
        <v>0.0</v>
      </c>
      <c r="J62" s="1">
        <v>6.0</v>
      </c>
      <c r="K62" s="1">
        <v>1.0</v>
      </c>
      <c r="L62" s="1">
        <v>0.0</v>
      </c>
      <c r="M62" s="1">
        <v>2.0</v>
      </c>
      <c r="N62" s="1">
        <v>3.0</v>
      </c>
      <c r="O62" s="1">
        <v>3.0</v>
      </c>
      <c r="P62" s="1">
        <v>2.0</v>
      </c>
      <c r="Q62" s="1" t="s">
        <v>225</v>
      </c>
      <c r="R62" s="1" t="s">
        <v>226</v>
      </c>
      <c r="S62" s="1">
        <v>80.0</v>
      </c>
      <c r="T62" s="1" t="s">
        <v>28</v>
      </c>
      <c r="U62" s="7">
        <v>4.0</v>
      </c>
      <c r="V62" s="7">
        <v>6.0</v>
      </c>
      <c r="W62" s="7">
        <v>6.0</v>
      </c>
    </row>
    <row r="63">
      <c r="A63" s="3">
        <v>46211.817141203705</v>
      </c>
      <c r="B63" s="1" t="s">
        <v>227</v>
      </c>
      <c r="C63" s="1" t="s">
        <v>228</v>
      </c>
      <c r="D63" s="1">
        <v>0.0</v>
      </c>
      <c r="E63" s="1" t="s">
        <v>184</v>
      </c>
      <c r="F63" s="4">
        <v>0.0</v>
      </c>
      <c r="G63" s="4">
        <v>5.0</v>
      </c>
      <c r="H63" s="4">
        <v>1.0</v>
      </c>
      <c r="I63" s="4">
        <v>0.0</v>
      </c>
      <c r="J63" s="1">
        <v>6.0</v>
      </c>
      <c r="K63" s="1">
        <v>-2.0</v>
      </c>
      <c r="L63" s="1">
        <v>0.0</v>
      </c>
      <c r="M63" s="1">
        <v>1.0</v>
      </c>
      <c r="N63" s="1">
        <v>4.0</v>
      </c>
      <c r="O63" s="1">
        <v>1.0</v>
      </c>
      <c r="P63" s="1">
        <v>0.0</v>
      </c>
      <c r="Q63" s="1" t="s">
        <v>229</v>
      </c>
      <c r="R63" s="1" t="s">
        <v>230</v>
      </c>
      <c r="S63" s="1">
        <v>271.0</v>
      </c>
      <c r="T63" s="1" t="s">
        <v>34</v>
      </c>
      <c r="U63" s="7">
        <v>1.0</v>
      </c>
      <c r="V63" s="7">
        <v>5.0</v>
      </c>
      <c r="W63" s="7">
        <v>4.0</v>
      </c>
    </row>
    <row r="64">
      <c r="A64" s="3">
        <v>46211.84725694444</v>
      </c>
      <c r="B64" s="1" t="s">
        <v>232</v>
      </c>
      <c r="C64" s="1" t="s">
        <v>233</v>
      </c>
      <c r="D64" s="1">
        <v>0.0</v>
      </c>
      <c r="E64" s="1" t="s">
        <v>85</v>
      </c>
      <c r="F64" s="4">
        <v>2.0</v>
      </c>
      <c r="G64" s="4">
        <v>2.0</v>
      </c>
      <c r="H64" s="4">
        <v>2.0</v>
      </c>
      <c r="I64" s="4">
        <v>0.0</v>
      </c>
      <c r="J64" s="1">
        <v>5.0</v>
      </c>
      <c r="K64" s="1">
        <v>1.0</v>
      </c>
      <c r="L64" s="1">
        <v>-2.0</v>
      </c>
      <c r="M64" s="1">
        <v>1.0</v>
      </c>
      <c r="N64" s="1">
        <v>4.0</v>
      </c>
      <c r="O64" s="1">
        <v>3.0</v>
      </c>
      <c r="P64" s="1">
        <v>1.0</v>
      </c>
      <c r="Q64" s="1" t="s">
        <v>234</v>
      </c>
      <c r="R64" s="1" t="s">
        <v>235</v>
      </c>
      <c r="S64" s="1">
        <v>419.0</v>
      </c>
      <c r="T64" s="1" t="s">
        <v>28</v>
      </c>
      <c r="U64" s="7">
        <v>2.0</v>
      </c>
      <c r="V64" s="7">
        <v>7.0</v>
      </c>
      <c r="W64" s="7">
        <v>3.0</v>
      </c>
    </row>
    <row r="65">
      <c r="A65" s="3">
        <v>46211.90729166667</v>
      </c>
      <c r="B65" s="1" t="s">
        <v>236</v>
      </c>
      <c r="C65" s="1" t="s">
        <v>237</v>
      </c>
      <c r="D65" s="1">
        <v>0.0</v>
      </c>
      <c r="E65" s="1" t="s">
        <v>184</v>
      </c>
      <c r="F65" s="4">
        <v>3.0</v>
      </c>
      <c r="G65" s="4">
        <v>0.0</v>
      </c>
      <c r="H65" s="4">
        <v>3.0</v>
      </c>
      <c r="I65" s="4">
        <v>0.0</v>
      </c>
      <c r="J65" s="1">
        <v>2.0</v>
      </c>
      <c r="K65" s="1">
        <v>-2.0</v>
      </c>
      <c r="L65" s="1">
        <v>0.0</v>
      </c>
      <c r="M65" s="1">
        <v>2.0</v>
      </c>
      <c r="N65" s="1">
        <v>3.0</v>
      </c>
      <c r="O65" s="1">
        <v>2.0</v>
      </c>
      <c r="P65" s="1">
        <v>3.0</v>
      </c>
      <c r="Q65" s="1" t="s">
        <v>238</v>
      </c>
      <c r="S65" s="1">
        <v>108.0</v>
      </c>
      <c r="T65" s="1" t="s">
        <v>28</v>
      </c>
      <c r="U65" s="7">
        <v>5.0</v>
      </c>
      <c r="V65" s="7">
        <v>5.0</v>
      </c>
      <c r="W65" s="7">
        <v>8.0</v>
      </c>
    </row>
    <row r="66">
      <c r="A66" s="3">
        <v>46211.94329861111</v>
      </c>
      <c r="B66" s="1" t="s">
        <v>239</v>
      </c>
      <c r="C66" s="1" t="s">
        <v>240</v>
      </c>
      <c r="D66" s="1">
        <v>0.0</v>
      </c>
      <c r="E66" s="1" t="s">
        <v>184</v>
      </c>
      <c r="F66" s="4">
        <v>3.0</v>
      </c>
      <c r="G66" s="4">
        <v>1.0</v>
      </c>
      <c r="H66" s="4">
        <v>2.0</v>
      </c>
      <c r="I66" s="4">
        <v>0.0</v>
      </c>
      <c r="J66" s="1">
        <v>5.0</v>
      </c>
      <c r="K66" s="1">
        <v>-1.0</v>
      </c>
      <c r="L66" s="1">
        <v>0.0</v>
      </c>
      <c r="M66" s="1">
        <v>1.0</v>
      </c>
      <c r="N66" s="1">
        <v>3.0</v>
      </c>
      <c r="O66" s="1">
        <v>2.0</v>
      </c>
      <c r="P66" s="1">
        <v>2.0</v>
      </c>
      <c r="Q66" s="1" t="s">
        <v>241</v>
      </c>
      <c r="R66" s="1" t="s">
        <v>242</v>
      </c>
      <c r="S66" s="1">
        <v>292.0</v>
      </c>
      <c r="T66" s="1" t="s">
        <v>34</v>
      </c>
      <c r="U66" s="7">
        <v>3.0</v>
      </c>
      <c r="V66" s="7">
        <v>5.0</v>
      </c>
      <c r="W66" s="7">
        <v>6.0</v>
      </c>
    </row>
    <row r="67">
      <c r="A67" s="3">
        <v>46212.030011574076</v>
      </c>
      <c r="B67" s="1" t="s">
        <v>243</v>
      </c>
      <c r="C67" s="1" t="s">
        <v>244</v>
      </c>
      <c r="D67" s="1">
        <v>0.0</v>
      </c>
      <c r="E67" s="1" t="s">
        <v>31</v>
      </c>
      <c r="F67" s="4">
        <v>0.0</v>
      </c>
      <c r="G67" s="4">
        <v>0.0</v>
      </c>
      <c r="H67" s="4">
        <v>3.0</v>
      </c>
      <c r="I67" s="4">
        <v>3.0</v>
      </c>
      <c r="J67" s="1">
        <v>3.0</v>
      </c>
      <c r="K67" s="1">
        <v>0.0</v>
      </c>
      <c r="L67" s="1">
        <v>2.0</v>
      </c>
      <c r="M67" s="1">
        <v>1.0</v>
      </c>
      <c r="N67" s="1">
        <v>3.0</v>
      </c>
      <c r="O67" s="1">
        <v>3.0</v>
      </c>
      <c r="P67" s="1">
        <v>1.0</v>
      </c>
      <c r="S67" s="1">
        <v>64.0</v>
      </c>
      <c r="T67" s="1" t="s">
        <v>34</v>
      </c>
      <c r="U67" s="7">
        <v>2.0</v>
      </c>
      <c r="V67" s="7">
        <v>6.0</v>
      </c>
      <c r="W67" s="7">
        <v>4.0</v>
      </c>
    </row>
    <row r="68">
      <c r="A68" s="3">
        <v>46212.254166666666</v>
      </c>
      <c r="B68" s="1" t="s">
        <v>245</v>
      </c>
      <c r="C68" s="1" t="s">
        <v>246</v>
      </c>
      <c r="D68" s="1">
        <v>0.0</v>
      </c>
      <c r="E68" s="1" t="s">
        <v>184</v>
      </c>
      <c r="F68" s="4">
        <v>1.0</v>
      </c>
      <c r="G68" s="4">
        <v>4.0</v>
      </c>
      <c r="H68" s="4">
        <v>1.0</v>
      </c>
      <c r="I68" s="4">
        <v>0.0</v>
      </c>
      <c r="J68" s="1">
        <v>6.0</v>
      </c>
      <c r="K68" s="1">
        <v>0.0</v>
      </c>
      <c r="L68" s="1">
        <v>-1.0</v>
      </c>
      <c r="M68" s="1">
        <v>2.0</v>
      </c>
      <c r="N68" s="1">
        <v>3.0</v>
      </c>
      <c r="O68" s="1">
        <v>4.0</v>
      </c>
      <c r="P68" s="1">
        <v>0.0</v>
      </c>
      <c r="Q68" s="1" t="s">
        <v>247</v>
      </c>
      <c r="S68" s="1">
        <v>846.0</v>
      </c>
      <c r="T68" s="1" t="s">
        <v>28</v>
      </c>
      <c r="U68" s="7">
        <v>2.0</v>
      </c>
      <c r="V68" s="7">
        <v>7.0</v>
      </c>
      <c r="W68" s="7">
        <v>3.0</v>
      </c>
    </row>
    <row r="69">
      <c r="A69" s="3">
        <v>46212.317037037035</v>
      </c>
      <c r="B69" s="1" t="s">
        <v>248</v>
      </c>
      <c r="C69" s="1" t="s">
        <v>249</v>
      </c>
      <c r="D69" s="1">
        <v>0.0</v>
      </c>
      <c r="E69" s="1" t="s">
        <v>184</v>
      </c>
      <c r="F69" s="4">
        <v>1.0</v>
      </c>
      <c r="G69" s="4">
        <v>1.0</v>
      </c>
      <c r="H69" s="4">
        <v>4.0</v>
      </c>
      <c r="I69" s="4">
        <v>0.0</v>
      </c>
      <c r="J69" s="1">
        <v>5.0</v>
      </c>
      <c r="K69" s="1">
        <v>0.0</v>
      </c>
      <c r="L69" s="1">
        <v>0.0</v>
      </c>
      <c r="M69" s="1">
        <v>1.0</v>
      </c>
      <c r="N69" s="1">
        <v>3.0</v>
      </c>
      <c r="O69" s="1">
        <v>3.0</v>
      </c>
      <c r="P69" s="1">
        <v>2.0</v>
      </c>
      <c r="S69" s="1">
        <v>227.0</v>
      </c>
      <c r="T69" s="1" t="s">
        <v>28</v>
      </c>
      <c r="U69" s="7">
        <v>3.0</v>
      </c>
      <c r="V69" s="7">
        <v>6.0</v>
      </c>
      <c r="W69" s="7">
        <v>5.0</v>
      </c>
    </row>
    <row r="70">
      <c r="A70" s="3">
        <v>46212.38196759259</v>
      </c>
      <c r="B70" s="1" t="s">
        <v>251</v>
      </c>
      <c r="C70" s="1" t="s">
        <v>252</v>
      </c>
      <c r="D70" s="1">
        <v>0.0</v>
      </c>
      <c r="E70" s="1" t="s">
        <v>192</v>
      </c>
      <c r="F70" s="4">
        <v>0.0</v>
      </c>
      <c r="G70" s="4">
        <v>2.0</v>
      </c>
      <c r="H70" s="4">
        <v>4.0</v>
      </c>
      <c r="I70" s="4">
        <v>0.0</v>
      </c>
      <c r="J70" s="1">
        <v>2.0</v>
      </c>
      <c r="K70" s="1">
        <v>-2.0</v>
      </c>
      <c r="L70" s="1">
        <v>-3.0</v>
      </c>
      <c r="M70" s="1">
        <v>2.0</v>
      </c>
      <c r="N70" s="1">
        <v>1.0</v>
      </c>
      <c r="O70" s="1">
        <v>1.0</v>
      </c>
      <c r="P70" s="1">
        <v>4.0</v>
      </c>
      <c r="S70" s="1">
        <v>59.0</v>
      </c>
      <c r="T70" s="1" t="s">
        <v>28</v>
      </c>
      <c r="U70" s="7">
        <v>6.0</v>
      </c>
      <c r="V70" s="7">
        <v>2.0</v>
      </c>
      <c r="W70" s="7">
        <v>12.0</v>
      </c>
    </row>
    <row r="71">
      <c r="A71" s="3">
        <v>46212.390069444446</v>
      </c>
      <c r="B71" s="1" t="s">
        <v>253</v>
      </c>
      <c r="C71" s="1" t="s">
        <v>254</v>
      </c>
      <c r="D71" s="1">
        <v>0.0</v>
      </c>
      <c r="E71" s="1" t="s">
        <v>192</v>
      </c>
      <c r="F71" s="4">
        <v>1.0</v>
      </c>
      <c r="G71" s="4">
        <v>2.0</v>
      </c>
      <c r="H71" s="4">
        <v>3.0</v>
      </c>
      <c r="I71" s="4">
        <v>0.0</v>
      </c>
      <c r="J71" s="1">
        <v>5.0</v>
      </c>
      <c r="K71" s="1">
        <v>-1.0</v>
      </c>
      <c r="L71" s="1">
        <v>2.0</v>
      </c>
      <c r="M71" s="1">
        <v>3.0</v>
      </c>
      <c r="N71" s="1">
        <v>2.0</v>
      </c>
      <c r="O71" s="1">
        <v>1.0</v>
      </c>
      <c r="P71" s="1">
        <v>3.0</v>
      </c>
      <c r="Q71" s="1" t="s">
        <v>255</v>
      </c>
      <c r="S71" s="1">
        <v>188.0</v>
      </c>
      <c r="T71" s="1" t="s">
        <v>28</v>
      </c>
      <c r="U71" s="7">
        <v>6.0</v>
      </c>
      <c r="V71" s="7">
        <v>3.0</v>
      </c>
      <c r="W71" s="7">
        <v>11.0</v>
      </c>
    </row>
    <row r="72">
      <c r="A72" s="3">
        <v>46212.39523148148</v>
      </c>
      <c r="B72" s="1" t="s">
        <v>256</v>
      </c>
      <c r="C72" s="1" t="s">
        <v>257</v>
      </c>
      <c r="D72" s="1">
        <v>0.0</v>
      </c>
      <c r="E72" s="1" t="s">
        <v>184</v>
      </c>
      <c r="F72" s="4">
        <v>1.0</v>
      </c>
      <c r="G72" s="4">
        <v>3.0</v>
      </c>
      <c r="H72" s="4">
        <v>2.0</v>
      </c>
      <c r="I72" s="4">
        <v>0.0</v>
      </c>
      <c r="J72" s="1">
        <v>5.0</v>
      </c>
      <c r="K72" s="1">
        <v>2.0</v>
      </c>
      <c r="L72" s="1">
        <v>2.0</v>
      </c>
      <c r="M72" s="1">
        <v>3.0</v>
      </c>
      <c r="N72" s="1">
        <v>3.0</v>
      </c>
      <c r="O72" s="1">
        <v>1.0</v>
      </c>
      <c r="P72" s="1">
        <v>3.0</v>
      </c>
      <c r="S72" s="1">
        <v>63.0</v>
      </c>
      <c r="T72" s="1" t="s">
        <v>34</v>
      </c>
      <c r="U72" s="7">
        <v>6.0</v>
      </c>
      <c r="V72" s="7">
        <v>4.0</v>
      </c>
      <c r="W72" s="7">
        <v>10.0</v>
      </c>
    </row>
    <row r="73">
      <c r="A73" s="3">
        <v>46212.44633101852</v>
      </c>
      <c r="B73" s="1" t="s">
        <v>258</v>
      </c>
      <c r="C73" s="1" t="s">
        <v>259</v>
      </c>
      <c r="D73" s="1">
        <v>0.0</v>
      </c>
      <c r="E73" s="1" t="s">
        <v>184</v>
      </c>
      <c r="F73" s="4">
        <v>3.0</v>
      </c>
      <c r="G73" s="4">
        <v>2.0</v>
      </c>
      <c r="H73" s="4">
        <v>1.0</v>
      </c>
      <c r="I73" s="4">
        <v>0.0</v>
      </c>
      <c r="J73" s="1">
        <v>5.0</v>
      </c>
      <c r="K73" s="1">
        <v>-3.0</v>
      </c>
      <c r="L73" s="1">
        <v>1.0</v>
      </c>
      <c r="M73" s="1">
        <v>2.0</v>
      </c>
      <c r="N73" s="1">
        <v>4.0</v>
      </c>
      <c r="O73" s="1">
        <v>3.0</v>
      </c>
      <c r="P73" s="1">
        <v>2.0</v>
      </c>
      <c r="Q73" s="1" t="s">
        <v>260</v>
      </c>
      <c r="R73" s="1" t="s">
        <v>261</v>
      </c>
      <c r="S73" s="1">
        <v>743.0</v>
      </c>
      <c r="T73" s="1" t="s">
        <v>34</v>
      </c>
      <c r="U73" s="7">
        <v>4.0</v>
      </c>
      <c r="V73" s="7">
        <v>7.0</v>
      </c>
      <c r="W73" s="7">
        <v>5.0</v>
      </c>
    </row>
    <row r="74">
      <c r="A74" s="3">
        <v>46212.474583333336</v>
      </c>
      <c r="B74" s="1" t="s">
        <v>262</v>
      </c>
      <c r="C74" s="1" t="s">
        <v>263</v>
      </c>
      <c r="D74" s="1">
        <v>0.0</v>
      </c>
      <c r="E74" s="1" t="s">
        <v>184</v>
      </c>
      <c r="F74" s="4">
        <v>1.0</v>
      </c>
      <c r="G74" s="4">
        <v>3.0</v>
      </c>
      <c r="H74" s="4">
        <v>2.0</v>
      </c>
      <c r="I74" s="4">
        <v>0.0</v>
      </c>
      <c r="J74" s="1">
        <v>6.0</v>
      </c>
      <c r="K74" s="1">
        <v>1.0</v>
      </c>
      <c r="L74" s="1">
        <v>-1.0</v>
      </c>
      <c r="M74" s="1">
        <v>2.0</v>
      </c>
      <c r="N74" s="1">
        <v>3.0</v>
      </c>
      <c r="O74" s="1">
        <v>3.0</v>
      </c>
      <c r="P74" s="1">
        <v>2.0</v>
      </c>
      <c r="S74" s="1">
        <v>125.0</v>
      </c>
      <c r="T74" s="1" t="s">
        <v>34</v>
      </c>
      <c r="U74" s="7">
        <v>4.0</v>
      </c>
      <c r="V74" s="7">
        <v>6.0</v>
      </c>
      <c r="W74" s="7">
        <v>6.0</v>
      </c>
    </row>
    <row r="75">
      <c r="A75" s="3">
        <v>46212.57846064815</v>
      </c>
      <c r="B75" s="1" t="s">
        <v>265</v>
      </c>
      <c r="C75" s="1" t="s">
        <v>266</v>
      </c>
      <c r="D75" s="1">
        <v>0.0</v>
      </c>
      <c r="E75" s="1" t="s">
        <v>184</v>
      </c>
      <c r="F75" s="4">
        <v>2.0</v>
      </c>
      <c r="G75" s="4">
        <v>2.0</v>
      </c>
      <c r="H75" s="4">
        <v>2.0</v>
      </c>
      <c r="I75" s="4">
        <v>0.0</v>
      </c>
      <c r="J75" s="1">
        <v>6.0</v>
      </c>
      <c r="K75" s="1">
        <v>0.0</v>
      </c>
      <c r="L75" s="1">
        <v>-1.0</v>
      </c>
      <c r="M75" s="1">
        <v>2.0</v>
      </c>
      <c r="N75" s="1">
        <v>3.0</v>
      </c>
      <c r="O75" s="1">
        <v>2.0</v>
      </c>
      <c r="P75" s="1">
        <v>2.0</v>
      </c>
      <c r="Q75" s="1" t="s">
        <v>267</v>
      </c>
      <c r="S75" s="1">
        <v>172.0</v>
      </c>
      <c r="T75" s="1" t="s">
        <v>34</v>
      </c>
      <c r="U75" s="7">
        <v>4.0</v>
      </c>
      <c r="V75" s="7">
        <v>5.0</v>
      </c>
      <c r="W75" s="7">
        <v>7.0</v>
      </c>
    </row>
    <row r="76">
      <c r="A76" s="3">
        <v>46212.58767361111</v>
      </c>
      <c r="B76" s="1" t="s">
        <v>268</v>
      </c>
      <c r="C76" s="1" t="s">
        <v>269</v>
      </c>
      <c r="D76" s="1">
        <v>0.0</v>
      </c>
      <c r="E76" s="1" t="s">
        <v>184</v>
      </c>
      <c r="F76" s="4">
        <v>1.0</v>
      </c>
      <c r="G76" s="4">
        <v>2.0</v>
      </c>
      <c r="H76" s="4">
        <v>3.0</v>
      </c>
      <c r="I76" s="4">
        <v>0.0</v>
      </c>
      <c r="J76" s="1">
        <v>7.0</v>
      </c>
      <c r="K76" s="1">
        <v>0.0</v>
      </c>
      <c r="L76" s="1">
        <v>0.0</v>
      </c>
      <c r="M76" s="1">
        <v>0.0</v>
      </c>
      <c r="N76" s="1">
        <v>3.0</v>
      </c>
      <c r="O76" s="1">
        <v>4.0</v>
      </c>
      <c r="P76" s="1">
        <v>0.0</v>
      </c>
      <c r="S76" s="1">
        <v>122.0</v>
      </c>
      <c r="T76" s="1" t="s">
        <v>34</v>
      </c>
      <c r="U76" s="7">
        <v>0.0</v>
      </c>
      <c r="V76" s="7">
        <v>7.0</v>
      </c>
      <c r="W76" s="7">
        <v>1.0</v>
      </c>
    </row>
    <row r="77">
      <c r="A77" s="3">
        <v>46212.602997685186</v>
      </c>
      <c r="B77" s="1" t="s">
        <v>270</v>
      </c>
      <c r="C77" s="1" t="s">
        <v>271</v>
      </c>
      <c r="D77" s="1">
        <v>0.0</v>
      </c>
      <c r="E77" s="1" t="s">
        <v>184</v>
      </c>
      <c r="F77" s="4">
        <v>1.0</v>
      </c>
      <c r="G77" s="4">
        <v>2.0</v>
      </c>
      <c r="H77" s="4">
        <v>3.0</v>
      </c>
      <c r="I77" s="4">
        <v>0.0</v>
      </c>
      <c r="J77" s="1">
        <v>5.0</v>
      </c>
      <c r="K77" s="1">
        <v>0.0</v>
      </c>
      <c r="L77" s="1">
        <v>0.0</v>
      </c>
      <c r="M77" s="1">
        <v>1.0</v>
      </c>
      <c r="N77" s="1">
        <v>3.0</v>
      </c>
      <c r="O77" s="1">
        <v>3.0</v>
      </c>
      <c r="P77" s="1">
        <v>1.0</v>
      </c>
      <c r="S77" s="1">
        <v>52.0</v>
      </c>
      <c r="T77" s="1" t="s">
        <v>34</v>
      </c>
      <c r="U77" s="7">
        <v>2.0</v>
      </c>
      <c r="V77" s="7">
        <v>6.0</v>
      </c>
      <c r="W77" s="7">
        <v>4.0</v>
      </c>
    </row>
    <row r="78">
      <c r="A78" s="3">
        <v>46212.60967592592</v>
      </c>
      <c r="B78" s="1" t="s">
        <v>273</v>
      </c>
      <c r="C78" s="1" t="s">
        <v>274</v>
      </c>
      <c r="D78" s="1">
        <v>0.0</v>
      </c>
      <c r="E78" s="1" t="s">
        <v>192</v>
      </c>
      <c r="F78" s="4">
        <v>2.0</v>
      </c>
      <c r="G78" s="4">
        <v>2.0</v>
      </c>
      <c r="H78" s="4">
        <v>1.0</v>
      </c>
      <c r="I78" s="4">
        <v>1.0</v>
      </c>
      <c r="J78" s="1">
        <v>5.0</v>
      </c>
      <c r="K78" s="1">
        <v>0.0</v>
      </c>
      <c r="L78" s="1">
        <v>1.0</v>
      </c>
      <c r="M78" s="1">
        <v>2.0</v>
      </c>
      <c r="N78" s="1">
        <v>3.0</v>
      </c>
      <c r="O78" s="1">
        <v>2.0</v>
      </c>
      <c r="P78" s="1">
        <v>1.0</v>
      </c>
      <c r="S78" s="1">
        <v>175.0</v>
      </c>
      <c r="T78" s="1" t="s">
        <v>34</v>
      </c>
      <c r="U78" s="7">
        <v>3.0</v>
      </c>
      <c r="V78" s="7">
        <v>5.0</v>
      </c>
      <c r="W78" s="7">
        <v>6.0</v>
      </c>
    </row>
    <row r="79">
      <c r="A79" s="3">
        <v>46212.995034722226</v>
      </c>
      <c r="B79" s="1" t="s">
        <v>275</v>
      </c>
      <c r="C79" s="1" t="s">
        <v>276</v>
      </c>
      <c r="D79" s="1">
        <v>0.0</v>
      </c>
      <c r="E79" s="1" t="s">
        <v>31</v>
      </c>
      <c r="F79" s="4">
        <v>2.0</v>
      </c>
      <c r="G79" s="4">
        <v>1.0</v>
      </c>
      <c r="H79" s="4">
        <v>1.0</v>
      </c>
      <c r="I79" s="4">
        <v>2.0</v>
      </c>
      <c r="J79" s="1">
        <v>5.0</v>
      </c>
      <c r="K79" s="1">
        <v>0.0</v>
      </c>
      <c r="L79" s="1">
        <v>1.0</v>
      </c>
      <c r="M79" s="1">
        <v>1.0</v>
      </c>
      <c r="N79" s="1">
        <v>3.0</v>
      </c>
      <c r="O79" s="1">
        <v>2.0</v>
      </c>
      <c r="P79" s="1">
        <v>2.0</v>
      </c>
      <c r="S79" s="1">
        <v>263.0</v>
      </c>
      <c r="T79" s="1" t="s">
        <v>28</v>
      </c>
      <c r="U79" s="7">
        <v>3.0</v>
      </c>
      <c r="V79" s="7">
        <v>5.0</v>
      </c>
      <c r="W79" s="7">
        <v>6.0</v>
      </c>
    </row>
    <row r="80">
      <c r="A80" s="3">
        <v>46213.262511574074</v>
      </c>
      <c r="B80" s="1" t="s">
        <v>277</v>
      </c>
      <c r="C80" s="1" t="s">
        <v>278</v>
      </c>
      <c r="D80" s="1">
        <v>0.0</v>
      </c>
      <c r="E80" s="1" t="s">
        <v>52</v>
      </c>
      <c r="F80" s="4">
        <v>6.0</v>
      </c>
      <c r="G80" s="4">
        <v>0.0</v>
      </c>
      <c r="H80" s="4">
        <v>0.0</v>
      </c>
      <c r="I80" s="4">
        <v>0.0</v>
      </c>
      <c r="J80" s="1">
        <v>2.0</v>
      </c>
      <c r="K80" s="1">
        <v>-2.0</v>
      </c>
      <c r="L80" s="1">
        <v>3.0</v>
      </c>
      <c r="M80" s="1">
        <v>4.0</v>
      </c>
      <c r="N80" s="1">
        <v>1.0</v>
      </c>
      <c r="O80" s="1">
        <v>1.0</v>
      </c>
      <c r="P80" s="1">
        <v>4.0</v>
      </c>
      <c r="Q80" s="1" t="s">
        <v>279</v>
      </c>
      <c r="S80" s="1">
        <v>196.0</v>
      </c>
      <c r="T80" s="1" t="s">
        <v>28</v>
      </c>
      <c r="U80" s="7">
        <v>8.0</v>
      </c>
      <c r="V80" s="7">
        <v>2.0</v>
      </c>
      <c r="W80" s="7">
        <v>14.0</v>
      </c>
    </row>
    <row r="81">
      <c r="A81" s="3">
        <v>46213.3659375</v>
      </c>
      <c r="B81" s="1" t="s">
        <v>280</v>
      </c>
      <c r="C81" s="1" t="s">
        <v>281</v>
      </c>
      <c r="D81" s="1">
        <v>0.0</v>
      </c>
      <c r="E81" s="1" t="s">
        <v>192</v>
      </c>
      <c r="F81" s="4">
        <v>1.0</v>
      </c>
      <c r="G81" s="4">
        <v>2.0</v>
      </c>
      <c r="H81" s="4">
        <v>1.0</v>
      </c>
      <c r="I81" s="4">
        <v>2.0</v>
      </c>
      <c r="J81" s="1">
        <v>3.0</v>
      </c>
      <c r="K81" s="1">
        <v>-2.0</v>
      </c>
      <c r="L81" s="1">
        <v>-1.0</v>
      </c>
      <c r="M81" s="1">
        <v>2.0</v>
      </c>
      <c r="N81" s="1">
        <v>3.0</v>
      </c>
      <c r="O81" s="1">
        <v>3.0</v>
      </c>
      <c r="P81" s="1">
        <v>2.0</v>
      </c>
      <c r="Q81" s="1" t="s">
        <v>282</v>
      </c>
      <c r="S81" s="1">
        <v>149.0</v>
      </c>
      <c r="T81" s="1" t="s">
        <v>28</v>
      </c>
      <c r="U81" s="7">
        <v>4.0</v>
      </c>
      <c r="V81" s="7">
        <v>6.0</v>
      </c>
      <c r="W81" s="7">
        <v>6.0</v>
      </c>
    </row>
    <row r="82">
      <c r="A82" s="3">
        <v>46213.418020833335</v>
      </c>
      <c r="B82" s="1" t="s">
        <v>283</v>
      </c>
      <c r="C82" s="1" t="s">
        <v>284</v>
      </c>
      <c r="D82" s="1">
        <v>0.0</v>
      </c>
      <c r="E82" s="1" t="s">
        <v>184</v>
      </c>
      <c r="F82" s="4">
        <v>0.0</v>
      </c>
      <c r="G82" s="4">
        <v>3.0</v>
      </c>
      <c r="H82" s="4">
        <v>3.0</v>
      </c>
      <c r="I82" s="4">
        <v>0.0</v>
      </c>
      <c r="J82" s="1">
        <v>3.0</v>
      </c>
      <c r="K82" s="1">
        <v>-2.0</v>
      </c>
      <c r="L82" s="1">
        <v>-2.0</v>
      </c>
      <c r="M82" s="1">
        <v>2.0</v>
      </c>
      <c r="N82" s="1">
        <v>2.0</v>
      </c>
      <c r="O82" s="1">
        <v>2.0</v>
      </c>
      <c r="P82" s="1">
        <v>2.0</v>
      </c>
      <c r="S82" s="1">
        <v>47.0</v>
      </c>
      <c r="T82" s="1" t="s">
        <v>34</v>
      </c>
      <c r="U82" s="7">
        <v>4.0</v>
      </c>
      <c r="V82" s="7">
        <v>4.0</v>
      </c>
      <c r="W82" s="7">
        <v>8.0</v>
      </c>
    </row>
    <row r="83">
      <c r="A83" s="3">
        <v>46213.533159722225</v>
      </c>
      <c r="B83" s="1" t="s">
        <v>285</v>
      </c>
      <c r="C83" s="1" t="s">
        <v>286</v>
      </c>
      <c r="D83" s="1">
        <v>0.0</v>
      </c>
      <c r="E83" s="1" t="s">
        <v>184</v>
      </c>
      <c r="F83" s="4">
        <v>1.0</v>
      </c>
      <c r="G83" s="4">
        <v>1.0</v>
      </c>
      <c r="H83" s="4">
        <v>4.0</v>
      </c>
      <c r="I83" s="4">
        <v>0.0</v>
      </c>
      <c r="J83" s="1">
        <v>4.0</v>
      </c>
      <c r="K83" s="1">
        <v>-1.0</v>
      </c>
      <c r="L83" s="1">
        <v>-1.0</v>
      </c>
      <c r="M83" s="1">
        <v>2.0</v>
      </c>
      <c r="N83" s="1">
        <v>3.0</v>
      </c>
      <c r="O83" s="1">
        <v>3.0</v>
      </c>
      <c r="P83" s="1">
        <v>1.0</v>
      </c>
      <c r="Q83" s="1" t="s">
        <v>288</v>
      </c>
      <c r="R83" s="1" t="s">
        <v>289</v>
      </c>
      <c r="S83" s="1">
        <v>126.0</v>
      </c>
      <c r="T83" s="1" t="s">
        <v>34</v>
      </c>
      <c r="U83" s="7">
        <v>3.0</v>
      </c>
      <c r="V83" s="7">
        <v>6.0</v>
      </c>
      <c r="W83" s="7">
        <v>5.0</v>
      </c>
    </row>
    <row r="84">
      <c r="A84" s="3">
        <v>46213.587233796294</v>
      </c>
      <c r="B84" s="1" t="s">
        <v>290</v>
      </c>
      <c r="C84" s="1" t="s">
        <v>291</v>
      </c>
      <c r="D84" s="1">
        <v>0.0</v>
      </c>
      <c r="E84" s="1" t="s">
        <v>184</v>
      </c>
      <c r="F84" s="4">
        <v>2.0</v>
      </c>
      <c r="G84" s="4">
        <v>1.0</v>
      </c>
      <c r="H84" s="4">
        <v>3.0</v>
      </c>
      <c r="I84" s="4">
        <v>0.0</v>
      </c>
      <c r="J84" s="1">
        <v>3.0</v>
      </c>
      <c r="K84" s="1">
        <v>-1.0</v>
      </c>
      <c r="L84" s="1">
        <v>2.0</v>
      </c>
      <c r="M84" s="1">
        <v>3.0</v>
      </c>
      <c r="N84" s="1">
        <v>2.0</v>
      </c>
      <c r="O84" s="1">
        <v>2.0</v>
      </c>
      <c r="P84" s="1">
        <v>3.0</v>
      </c>
      <c r="Q84" s="1" t="s">
        <v>292</v>
      </c>
      <c r="R84" s="1" t="s">
        <v>293</v>
      </c>
      <c r="S84" s="1">
        <v>3550.0</v>
      </c>
      <c r="T84" s="1" t="s">
        <v>34</v>
      </c>
      <c r="U84" s="7">
        <v>6.0</v>
      </c>
      <c r="V84" s="7">
        <v>4.0</v>
      </c>
      <c r="W84" s="7">
        <v>10.0</v>
      </c>
    </row>
    <row r="85">
      <c r="A85" s="3">
        <v>46213.58736111111</v>
      </c>
      <c r="B85" s="1" t="s">
        <v>294</v>
      </c>
      <c r="C85" s="1" t="s">
        <v>295</v>
      </c>
      <c r="D85" s="1">
        <v>0.0</v>
      </c>
      <c r="E85" s="1" t="s">
        <v>192</v>
      </c>
      <c r="F85" s="4">
        <v>2.0</v>
      </c>
      <c r="G85" s="4">
        <v>2.0</v>
      </c>
      <c r="H85" s="4">
        <v>2.0</v>
      </c>
      <c r="I85" s="4">
        <v>0.0</v>
      </c>
      <c r="J85" s="1">
        <v>6.0</v>
      </c>
      <c r="K85" s="1">
        <v>2.0</v>
      </c>
      <c r="L85" s="1">
        <v>1.0</v>
      </c>
      <c r="M85" s="1">
        <v>1.0</v>
      </c>
      <c r="N85" s="1">
        <v>3.0</v>
      </c>
      <c r="O85" s="1">
        <v>3.0</v>
      </c>
      <c r="P85" s="1">
        <v>2.0</v>
      </c>
      <c r="S85" s="1">
        <v>786.0</v>
      </c>
      <c r="T85" s="1" t="s">
        <v>34</v>
      </c>
      <c r="U85" s="7">
        <v>3.0</v>
      </c>
      <c r="V85" s="7">
        <v>6.0</v>
      </c>
      <c r="W85" s="7">
        <v>5.0</v>
      </c>
    </row>
    <row r="86">
      <c r="A86" s="3">
        <v>46213.718310185184</v>
      </c>
      <c r="B86" s="1" t="s">
        <v>296</v>
      </c>
      <c r="C86" s="1" t="s">
        <v>297</v>
      </c>
      <c r="D86" s="1">
        <v>0.0</v>
      </c>
      <c r="E86" s="1" t="s">
        <v>102</v>
      </c>
      <c r="F86" s="4">
        <v>2.0</v>
      </c>
      <c r="G86" s="4">
        <v>1.0</v>
      </c>
      <c r="H86" s="4">
        <v>3.0</v>
      </c>
      <c r="I86" s="4">
        <v>0.0</v>
      </c>
      <c r="J86" s="1">
        <v>3.0</v>
      </c>
      <c r="K86" s="1">
        <v>0.0</v>
      </c>
      <c r="L86" s="1">
        <v>1.0</v>
      </c>
      <c r="M86" s="1">
        <v>2.0</v>
      </c>
      <c r="N86" s="1">
        <v>2.0</v>
      </c>
      <c r="O86" s="1">
        <v>2.0</v>
      </c>
      <c r="P86" s="1">
        <v>2.0</v>
      </c>
      <c r="S86" s="1">
        <v>36.0</v>
      </c>
      <c r="T86" s="1" t="s">
        <v>34</v>
      </c>
      <c r="U86" s="7">
        <v>4.0</v>
      </c>
      <c r="V86" s="7">
        <v>4.0</v>
      </c>
      <c r="W86" s="7">
        <v>8.0</v>
      </c>
    </row>
    <row r="87">
      <c r="A87" s="3">
        <v>46213.76505787037</v>
      </c>
      <c r="B87" s="1" t="s">
        <v>298</v>
      </c>
      <c r="C87" s="1" t="s">
        <v>299</v>
      </c>
      <c r="D87" s="1">
        <v>0.0</v>
      </c>
      <c r="E87" s="1" t="s">
        <v>31</v>
      </c>
      <c r="F87" s="4">
        <v>2.0</v>
      </c>
      <c r="G87" s="4">
        <v>2.0</v>
      </c>
      <c r="H87" s="4">
        <v>2.0</v>
      </c>
      <c r="I87" s="4">
        <v>0.0</v>
      </c>
      <c r="J87" s="1">
        <v>4.0</v>
      </c>
      <c r="K87" s="1">
        <v>2.0</v>
      </c>
      <c r="L87" s="1">
        <v>-2.0</v>
      </c>
      <c r="M87" s="1">
        <v>1.0</v>
      </c>
      <c r="N87" s="1">
        <v>3.0</v>
      </c>
      <c r="O87" s="1">
        <v>3.0</v>
      </c>
      <c r="P87" s="1">
        <v>1.0</v>
      </c>
      <c r="Q87" s="1" t="s">
        <v>300</v>
      </c>
      <c r="R87" s="1" t="s">
        <v>301</v>
      </c>
      <c r="S87" s="1">
        <v>136.0</v>
      </c>
      <c r="T87" s="1" t="s">
        <v>34</v>
      </c>
      <c r="U87" s="7">
        <v>2.0</v>
      </c>
      <c r="V87" s="7">
        <v>6.0</v>
      </c>
      <c r="W87" s="7">
        <v>4.0</v>
      </c>
    </row>
    <row r="88">
      <c r="A88" s="3">
        <v>46214.578564814816</v>
      </c>
      <c r="B88" s="1" t="s">
        <v>302</v>
      </c>
      <c r="C88" s="1" t="s">
        <v>303</v>
      </c>
      <c r="D88" s="1">
        <v>0.0</v>
      </c>
      <c r="E88" s="1" t="s">
        <v>184</v>
      </c>
      <c r="F88" s="4">
        <v>2.0</v>
      </c>
      <c r="G88" s="4">
        <v>1.0</v>
      </c>
      <c r="H88" s="4">
        <v>2.0</v>
      </c>
      <c r="I88" s="4">
        <v>1.0</v>
      </c>
      <c r="J88" s="1">
        <v>7.0</v>
      </c>
      <c r="K88" s="1">
        <v>-1.0</v>
      </c>
      <c r="L88" s="1">
        <v>-1.0</v>
      </c>
      <c r="M88" s="1">
        <v>3.0</v>
      </c>
      <c r="N88" s="1">
        <v>2.0</v>
      </c>
      <c r="O88" s="1">
        <v>2.0</v>
      </c>
      <c r="P88" s="1">
        <v>2.0</v>
      </c>
      <c r="S88" s="1">
        <v>645.0</v>
      </c>
      <c r="T88" s="1" t="s">
        <v>34</v>
      </c>
      <c r="U88" s="7">
        <v>5.0</v>
      </c>
      <c r="V88" s="7">
        <v>4.0</v>
      </c>
      <c r="W88" s="7">
        <v>9.0</v>
      </c>
    </row>
    <row r="89">
      <c r="A89" s="3">
        <v>46214.703622685185</v>
      </c>
      <c r="B89" s="1" t="s">
        <v>305</v>
      </c>
      <c r="C89" s="1" t="s">
        <v>306</v>
      </c>
      <c r="D89" s="1">
        <v>0.0</v>
      </c>
      <c r="E89" s="1" t="s">
        <v>184</v>
      </c>
      <c r="F89" s="4">
        <v>2.0</v>
      </c>
      <c r="G89" s="4">
        <v>2.0</v>
      </c>
      <c r="H89" s="4">
        <v>2.0</v>
      </c>
      <c r="I89" s="4">
        <v>0.0</v>
      </c>
      <c r="J89" s="1">
        <v>6.0</v>
      </c>
      <c r="K89" s="1">
        <v>2.0</v>
      </c>
      <c r="L89" s="1">
        <v>2.0</v>
      </c>
      <c r="M89" s="1">
        <v>1.0</v>
      </c>
      <c r="N89" s="1">
        <v>3.0</v>
      </c>
      <c r="O89" s="1">
        <v>3.0</v>
      </c>
      <c r="P89" s="1">
        <v>1.0</v>
      </c>
      <c r="S89" s="1">
        <v>86.0</v>
      </c>
      <c r="T89" s="1" t="s">
        <v>34</v>
      </c>
      <c r="U89" s="7">
        <v>2.0</v>
      </c>
      <c r="V89" s="7">
        <v>6.0</v>
      </c>
      <c r="W89" s="7">
        <v>4.0</v>
      </c>
    </row>
    <row r="90">
      <c r="A90" s="3">
        <v>46214.7787962963</v>
      </c>
      <c r="B90" s="1" t="s">
        <v>307</v>
      </c>
      <c r="C90" s="1" t="s">
        <v>211</v>
      </c>
      <c r="D90" s="1">
        <v>0.0</v>
      </c>
      <c r="E90" s="1" t="s">
        <v>102</v>
      </c>
      <c r="F90" s="4">
        <v>1.0</v>
      </c>
      <c r="G90" s="4">
        <v>2.0</v>
      </c>
      <c r="H90" s="4">
        <v>3.0</v>
      </c>
      <c r="I90" s="4">
        <v>0.0</v>
      </c>
      <c r="J90" s="1">
        <v>5.0</v>
      </c>
      <c r="K90" s="1">
        <v>0.0</v>
      </c>
      <c r="L90" s="1">
        <v>1.0</v>
      </c>
      <c r="M90" s="1">
        <v>1.0</v>
      </c>
      <c r="N90" s="1">
        <v>4.0</v>
      </c>
      <c r="O90" s="1">
        <v>4.0</v>
      </c>
      <c r="P90" s="1">
        <v>0.0</v>
      </c>
      <c r="S90" s="1">
        <v>109.0</v>
      </c>
      <c r="T90" s="1" t="s">
        <v>34</v>
      </c>
      <c r="U90" s="7">
        <v>1.0</v>
      </c>
      <c r="V90" s="7">
        <v>8.0</v>
      </c>
      <c r="W90" s="7">
        <v>1.0</v>
      </c>
    </row>
    <row r="91">
      <c r="A91" s="3">
        <v>46214.792974537035</v>
      </c>
      <c r="B91" s="1" t="s">
        <v>308</v>
      </c>
      <c r="C91" s="1" t="s">
        <v>309</v>
      </c>
      <c r="D91" s="1">
        <v>0.0</v>
      </c>
      <c r="E91" s="1" t="s">
        <v>192</v>
      </c>
      <c r="F91" s="4">
        <v>2.0</v>
      </c>
      <c r="G91" s="4">
        <v>2.0</v>
      </c>
      <c r="H91" s="4">
        <v>1.0</v>
      </c>
      <c r="I91" s="4">
        <v>1.0</v>
      </c>
      <c r="J91" s="1">
        <v>5.0</v>
      </c>
      <c r="K91" s="1">
        <v>-1.0</v>
      </c>
      <c r="L91" s="1">
        <v>-1.0</v>
      </c>
      <c r="M91" s="1">
        <v>3.0</v>
      </c>
      <c r="N91" s="1">
        <v>3.0</v>
      </c>
      <c r="O91" s="1">
        <v>2.0</v>
      </c>
      <c r="P91" s="1">
        <v>0.0</v>
      </c>
      <c r="Q91" s="1" t="s">
        <v>310</v>
      </c>
      <c r="S91" s="1">
        <v>253.0</v>
      </c>
      <c r="T91" s="1" t="s">
        <v>28</v>
      </c>
      <c r="U91" s="7">
        <v>3.0</v>
      </c>
      <c r="V91" s="7">
        <v>5.0</v>
      </c>
      <c r="W91" s="7">
        <v>6.0</v>
      </c>
    </row>
    <row r="92">
      <c r="A92" s="3">
        <v>46215.366875</v>
      </c>
      <c r="B92" s="1" t="s">
        <v>311</v>
      </c>
      <c r="C92" s="1" t="s">
        <v>51</v>
      </c>
      <c r="D92" s="1">
        <v>1.0</v>
      </c>
      <c r="E92" s="1" t="s">
        <v>52</v>
      </c>
      <c r="F92" s="4">
        <v>0.0</v>
      </c>
      <c r="G92" s="4">
        <v>4.0</v>
      </c>
      <c r="H92" s="4">
        <v>2.0</v>
      </c>
      <c r="I92" s="4">
        <v>0.0</v>
      </c>
      <c r="J92" s="1">
        <v>5.0</v>
      </c>
      <c r="K92" s="1">
        <v>2.0</v>
      </c>
      <c r="L92" s="1">
        <v>-2.0</v>
      </c>
      <c r="M92" s="1">
        <v>2.0</v>
      </c>
      <c r="N92" s="1">
        <v>4.0</v>
      </c>
      <c r="O92" s="1">
        <v>3.0</v>
      </c>
      <c r="P92" s="1">
        <v>0.0</v>
      </c>
      <c r="S92" s="1">
        <v>102.0</v>
      </c>
      <c r="T92" s="1" t="s">
        <v>34</v>
      </c>
      <c r="U92" s="7">
        <v>2.0</v>
      </c>
      <c r="V92" s="7">
        <v>7.0</v>
      </c>
      <c r="W92" s="7">
        <v>3.0</v>
      </c>
    </row>
    <row r="93">
      <c r="A93" s="3">
        <v>46215.370671296296</v>
      </c>
      <c r="B93" s="1" t="s">
        <v>312</v>
      </c>
      <c r="C93" s="1" t="s">
        <v>313</v>
      </c>
      <c r="D93" s="1">
        <v>1.0</v>
      </c>
      <c r="E93" s="1" t="s">
        <v>184</v>
      </c>
      <c r="F93" s="4">
        <v>1.0</v>
      </c>
      <c r="G93" s="4">
        <v>2.0</v>
      </c>
      <c r="H93" s="4">
        <v>3.0</v>
      </c>
      <c r="I93" s="4">
        <v>0.0</v>
      </c>
      <c r="J93" s="1">
        <v>3.0</v>
      </c>
      <c r="K93" s="1">
        <v>0.0</v>
      </c>
      <c r="L93" s="1">
        <v>-2.0</v>
      </c>
      <c r="M93" s="1">
        <v>2.0</v>
      </c>
      <c r="N93" s="1">
        <v>2.0</v>
      </c>
      <c r="O93" s="1">
        <v>2.0</v>
      </c>
      <c r="P93" s="1">
        <v>2.0</v>
      </c>
      <c r="S93" s="1">
        <v>58.0</v>
      </c>
      <c r="T93" s="1" t="s">
        <v>28</v>
      </c>
      <c r="U93" s="7">
        <v>4.0</v>
      </c>
      <c r="V93" s="7">
        <v>4.0</v>
      </c>
      <c r="W93" s="7">
        <v>8.0</v>
      </c>
    </row>
    <row r="94">
      <c r="A94" s="3">
        <v>46215.375706018516</v>
      </c>
      <c r="B94" s="1" t="s">
        <v>314</v>
      </c>
      <c r="C94" s="1" t="s">
        <v>72</v>
      </c>
      <c r="D94" s="1">
        <v>1.0</v>
      </c>
      <c r="E94" s="1" t="s">
        <v>31</v>
      </c>
      <c r="F94" s="4">
        <v>4.0</v>
      </c>
      <c r="G94" s="4">
        <v>1.0</v>
      </c>
      <c r="H94" s="4">
        <v>1.0</v>
      </c>
      <c r="I94" s="4">
        <v>0.0</v>
      </c>
      <c r="J94" s="1">
        <v>6.0</v>
      </c>
      <c r="K94" s="1">
        <v>3.0</v>
      </c>
      <c r="L94" s="1">
        <v>0.0</v>
      </c>
      <c r="M94" s="1">
        <v>1.0</v>
      </c>
      <c r="N94" s="1">
        <v>4.0</v>
      </c>
      <c r="O94" s="1">
        <v>3.0</v>
      </c>
      <c r="P94" s="1">
        <v>0.0</v>
      </c>
      <c r="S94" s="1">
        <v>635.0</v>
      </c>
      <c r="T94" s="1" t="s">
        <v>28</v>
      </c>
      <c r="U94" s="7">
        <v>1.0</v>
      </c>
      <c r="V94" s="7">
        <v>7.0</v>
      </c>
      <c r="W94" s="7">
        <v>2.0</v>
      </c>
    </row>
    <row r="95">
      <c r="A95" s="3">
        <v>46215.37636574074</v>
      </c>
      <c r="B95" s="1" t="s">
        <v>315</v>
      </c>
      <c r="C95" s="1" t="s">
        <v>316</v>
      </c>
      <c r="D95" s="1">
        <v>1.0</v>
      </c>
      <c r="E95" s="1" t="s">
        <v>184</v>
      </c>
      <c r="F95" s="4">
        <v>3.0</v>
      </c>
      <c r="G95" s="4">
        <v>0.0</v>
      </c>
      <c r="H95" s="4">
        <v>3.0</v>
      </c>
      <c r="I95" s="4">
        <v>0.0</v>
      </c>
      <c r="J95" s="1">
        <v>2.0</v>
      </c>
      <c r="K95" s="1">
        <v>-2.0</v>
      </c>
      <c r="L95" s="1">
        <v>3.0</v>
      </c>
      <c r="M95" s="1">
        <v>3.0</v>
      </c>
      <c r="N95" s="1">
        <v>1.0</v>
      </c>
      <c r="O95" s="1">
        <v>1.0</v>
      </c>
      <c r="P95" s="1">
        <v>3.0</v>
      </c>
      <c r="S95" s="1">
        <v>72.0</v>
      </c>
      <c r="T95" s="1" t="s">
        <v>28</v>
      </c>
      <c r="U95" s="7">
        <v>6.0</v>
      </c>
      <c r="V95" s="7">
        <v>2.0</v>
      </c>
      <c r="W95" s="7">
        <v>12.0</v>
      </c>
    </row>
    <row r="96">
      <c r="A96" s="3">
        <v>46215.39109953704</v>
      </c>
      <c r="B96" s="1" t="s">
        <v>317</v>
      </c>
      <c r="C96" s="1" t="s">
        <v>187</v>
      </c>
      <c r="D96" s="1">
        <v>1.0</v>
      </c>
      <c r="E96" s="1" t="s">
        <v>184</v>
      </c>
      <c r="F96" s="4">
        <v>2.0</v>
      </c>
      <c r="G96" s="4">
        <v>2.0</v>
      </c>
      <c r="H96" s="4">
        <v>2.0</v>
      </c>
      <c r="I96" s="4">
        <v>0.0</v>
      </c>
      <c r="J96" s="1">
        <v>6.0</v>
      </c>
      <c r="K96" s="1">
        <v>0.0</v>
      </c>
      <c r="L96" s="1">
        <v>-1.0</v>
      </c>
      <c r="M96" s="1">
        <v>1.0</v>
      </c>
      <c r="N96" s="1">
        <v>3.0</v>
      </c>
      <c r="O96" s="1">
        <v>3.0</v>
      </c>
      <c r="P96" s="1">
        <v>1.0</v>
      </c>
      <c r="S96" s="1">
        <v>54.0</v>
      </c>
      <c r="T96" s="1" t="s">
        <v>28</v>
      </c>
      <c r="U96" s="7">
        <v>2.0</v>
      </c>
      <c r="V96" s="7">
        <v>6.0</v>
      </c>
      <c r="W96" s="7">
        <v>4.0</v>
      </c>
    </row>
    <row r="97">
      <c r="A97" s="3">
        <v>46215.39115740741</v>
      </c>
      <c r="B97" s="1" t="s">
        <v>318</v>
      </c>
      <c r="C97" s="1" t="s">
        <v>84</v>
      </c>
      <c r="D97" s="1">
        <v>1.0</v>
      </c>
      <c r="E97" s="1" t="s">
        <v>85</v>
      </c>
      <c r="F97" s="4">
        <v>2.0</v>
      </c>
      <c r="G97" s="4">
        <v>3.0</v>
      </c>
      <c r="H97" s="4">
        <v>1.0</v>
      </c>
      <c r="I97" s="4">
        <v>0.0</v>
      </c>
      <c r="J97" s="1">
        <v>6.0</v>
      </c>
      <c r="K97" s="1">
        <v>3.0</v>
      </c>
      <c r="L97" s="1">
        <v>2.0</v>
      </c>
      <c r="M97" s="1">
        <v>2.0</v>
      </c>
      <c r="N97" s="1">
        <v>3.0</v>
      </c>
      <c r="O97" s="1">
        <v>3.0</v>
      </c>
      <c r="P97" s="1">
        <v>3.0</v>
      </c>
      <c r="Q97" s="1" t="s">
        <v>319</v>
      </c>
      <c r="R97" s="1" t="s">
        <v>320</v>
      </c>
      <c r="S97" s="1">
        <v>325.0</v>
      </c>
      <c r="T97" s="1" t="s">
        <v>28</v>
      </c>
      <c r="U97" s="7">
        <v>5.0</v>
      </c>
      <c r="V97" s="7">
        <v>6.0</v>
      </c>
      <c r="W97" s="7">
        <v>7.0</v>
      </c>
    </row>
    <row r="98">
      <c r="A98" s="3">
        <v>46215.39261574074</v>
      </c>
      <c r="B98" s="1" t="s">
        <v>321</v>
      </c>
      <c r="C98" s="1" t="s">
        <v>98</v>
      </c>
      <c r="D98" s="1">
        <v>1.0</v>
      </c>
      <c r="E98" s="1" t="s">
        <v>26</v>
      </c>
      <c r="F98" s="4">
        <v>1.0</v>
      </c>
      <c r="G98" s="4">
        <v>4.0</v>
      </c>
      <c r="H98" s="4">
        <v>1.0</v>
      </c>
      <c r="I98" s="4">
        <v>0.0</v>
      </c>
      <c r="J98" s="1">
        <v>6.0</v>
      </c>
      <c r="K98" s="1">
        <v>0.0</v>
      </c>
      <c r="L98" s="1">
        <v>0.0</v>
      </c>
      <c r="M98" s="1">
        <v>1.0</v>
      </c>
      <c r="N98" s="1">
        <v>3.0</v>
      </c>
      <c r="O98" s="1">
        <v>4.0</v>
      </c>
      <c r="P98" s="1">
        <v>1.0</v>
      </c>
      <c r="S98" s="1">
        <v>103.0</v>
      </c>
      <c r="T98" s="1" t="s">
        <v>28</v>
      </c>
      <c r="U98" s="7">
        <v>2.0</v>
      </c>
      <c r="V98" s="7">
        <v>7.0</v>
      </c>
      <c r="W98" s="7">
        <v>3.0</v>
      </c>
    </row>
    <row r="99">
      <c r="A99" s="3">
        <v>46215.40002314815</v>
      </c>
      <c r="B99" s="1" t="s">
        <v>322</v>
      </c>
      <c r="C99" s="1" t="s">
        <v>323</v>
      </c>
      <c r="D99" s="1">
        <v>1.0</v>
      </c>
      <c r="E99" s="1" t="s">
        <v>192</v>
      </c>
      <c r="F99" s="4">
        <v>4.0</v>
      </c>
      <c r="G99" s="4">
        <v>0.0</v>
      </c>
      <c r="H99" s="4">
        <v>0.0</v>
      </c>
      <c r="I99" s="4">
        <v>2.0</v>
      </c>
      <c r="J99" s="1">
        <v>3.0</v>
      </c>
      <c r="K99" s="1">
        <v>-2.0</v>
      </c>
      <c r="L99" s="1">
        <v>1.0</v>
      </c>
      <c r="M99" s="1">
        <v>3.0</v>
      </c>
      <c r="N99" s="1">
        <v>3.0</v>
      </c>
      <c r="O99" s="1">
        <v>3.0</v>
      </c>
      <c r="P99" s="1">
        <v>2.0</v>
      </c>
      <c r="S99" s="1">
        <v>82.0</v>
      </c>
      <c r="T99" s="1" t="s">
        <v>34</v>
      </c>
      <c r="U99" s="7">
        <v>5.0</v>
      </c>
      <c r="V99" s="7">
        <v>6.0</v>
      </c>
      <c r="W99" s="7">
        <v>7.0</v>
      </c>
    </row>
    <row r="100">
      <c r="A100" s="3">
        <v>46215.409097222226</v>
      </c>
      <c r="B100" s="1" t="s">
        <v>324</v>
      </c>
      <c r="C100" s="1" t="s">
        <v>179</v>
      </c>
      <c r="D100" s="1">
        <v>1.0</v>
      </c>
      <c r="E100" s="1" t="s">
        <v>49</v>
      </c>
      <c r="F100" s="4">
        <v>1.0</v>
      </c>
      <c r="G100" s="4">
        <v>1.0</v>
      </c>
      <c r="H100" s="4">
        <v>2.0</v>
      </c>
      <c r="I100" s="4">
        <v>2.0</v>
      </c>
      <c r="J100" s="1">
        <v>5.0</v>
      </c>
      <c r="K100" s="1">
        <v>2.0</v>
      </c>
      <c r="L100" s="1">
        <v>-2.0</v>
      </c>
      <c r="M100" s="1">
        <v>2.0</v>
      </c>
      <c r="N100" s="1">
        <v>2.0</v>
      </c>
      <c r="O100" s="1">
        <v>3.0</v>
      </c>
      <c r="P100" s="1">
        <v>0.0</v>
      </c>
      <c r="S100" s="1">
        <v>183.0</v>
      </c>
      <c r="T100" s="1" t="s">
        <v>34</v>
      </c>
      <c r="U100" s="7">
        <v>2.0</v>
      </c>
      <c r="V100" s="7">
        <v>5.0</v>
      </c>
      <c r="W100" s="7">
        <v>5.0</v>
      </c>
    </row>
    <row r="101">
      <c r="A101" s="3">
        <v>46215.41315972222</v>
      </c>
      <c r="B101" s="1" t="s">
        <v>325</v>
      </c>
      <c r="C101" s="1" t="s">
        <v>175</v>
      </c>
      <c r="D101" s="1">
        <v>1.0</v>
      </c>
      <c r="E101" s="1" t="s">
        <v>90</v>
      </c>
      <c r="F101" s="4">
        <v>4.0</v>
      </c>
      <c r="G101" s="4">
        <v>1.0</v>
      </c>
      <c r="H101" s="4">
        <v>1.0</v>
      </c>
      <c r="I101" s="4">
        <v>0.0</v>
      </c>
      <c r="J101" s="1">
        <v>5.0</v>
      </c>
      <c r="K101" s="1">
        <v>0.0</v>
      </c>
      <c r="L101" s="1">
        <v>2.0</v>
      </c>
      <c r="M101" s="1">
        <v>3.0</v>
      </c>
      <c r="N101" s="1">
        <v>2.0</v>
      </c>
      <c r="O101" s="1">
        <v>2.0</v>
      </c>
      <c r="P101" s="1">
        <v>3.0</v>
      </c>
      <c r="Q101" s="1" t="s">
        <v>326</v>
      </c>
      <c r="R101" s="1" t="s">
        <v>327</v>
      </c>
      <c r="S101" s="1">
        <v>1408.0</v>
      </c>
      <c r="T101" s="1" t="s">
        <v>34</v>
      </c>
      <c r="U101" s="7">
        <v>6.0</v>
      </c>
      <c r="V101" s="7">
        <v>4.0</v>
      </c>
      <c r="W101" s="7">
        <v>10.0</v>
      </c>
    </row>
    <row r="102">
      <c r="A102" s="3">
        <v>46215.42089120371</v>
      </c>
      <c r="B102" s="1" t="s">
        <v>328</v>
      </c>
      <c r="C102" s="1" t="s">
        <v>271</v>
      </c>
      <c r="D102" s="1">
        <v>1.0</v>
      </c>
      <c r="E102" s="1" t="s">
        <v>184</v>
      </c>
      <c r="F102" s="4">
        <v>0.0</v>
      </c>
      <c r="G102" s="4">
        <v>2.0</v>
      </c>
      <c r="H102" s="4">
        <v>4.0</v>
      </c>
      <c r="I102" s="4">
        <v>0.0</v>
      </c>
      <c r="J102" s="1">
        <v>4.0</v>
      </c>
      <c r="K102" s="1">
        <v>0.0</v>
      </c>
      <c r="L102" s="1">
        <v>2.0</v>
      </c>
      <c r="M102" s="1">
        <v>3.0</v>
      </c>
      <c r="N102" s="1">
        <v>3.0</v>
      </c>
      <c r="O102" s="1">
        <v>2.0</v>
      </c>
      <c r="P102" s="1">
        <v>3.0</v>
      </c>
      <c r="Q102" s="1" t="s">
        <v>329</v>
      </c>
      <c r="S102" s="1">
        <v>350.0</v>
      </c>
      <c r="T102" s="1" t="s">
        <v>34</v>
      </c>
      <c r="U102" s="7">
        <v>6.0</v>
      </c>
      <c r="V102" s="7">
        <v>5.0</v>
      </c>
      <c r="W102" s="7">
        <v>9.0</v>
      </c>
    </row>
    <row r="103">
      <c r="A103" s="3">
        <v>46215.42203703704</v>
      </c>
      <c r="B103" s="1" t="s">
        <v>330</v>
      </c>
      <c r="C103" s="1" t="s">
        <v>56</v>
      </c>
      <c r="D103" s="1">
        <v>1.0</v>
      </c>
      <c r="E103" s="1" t="s">
        <v>49</v>
      </c>
      <c r="F103" s="4">
        <v>1.0</v>
      </c>
      <c r="G103" s="4">
        <v>2.0</v>
      </c>
      <c r="H103" s="4">
        <v>3.0</v>
      </c>
      <c r="I103" s="4">
        <v>0.0</v>
      </c>
      <c r="J103" s="1">
        <v>7.0</v>
      </c>
      <c r="K103" s="1">
        <v>2.0</v>
      </c>
      <c r="L103" s="1">
        <v>-2.0</v>
      </c>
      <c r="M103" s="1">
        <v>2.0</v>
      </c>
      <c r="N103" s="1">
        <v>2.0</v>
      </c>
      <c r="O103" s="1">
        <v>3.0</v>
      </c>
      <c r="P103" s="1">
        <v>3.0</v>
      </c>
      <c r="Q103" s="1" t="s">
        <v>331</v>
      </c>
      <c r="S103" s="1">
        <v>326.0</v>
      </c>
      <c r="T103" s="1" t="s">
        <v>34</v>
      </c>
      <c r="U103" s="7">
        <v>5.0</v>
      </c>
      <c r="V103" s="7">
        <v>5.0</v>
      </c>
      <c r="W103" s="7">
        <v>8.0</v>
      </c>
    </row>
    <row r="104">
      <c r="A104" s="3">
        <v>46215.428032407406</v>
      </c>
      <c r="B104" s="1" t="s">
        <v>332</v>
      </c>
      <c r="C104" s="1" t="s">
        <v>220</v>
      </c>
      <c r="D104" s="1">
        <v>1.0</v>
      </c>
      <c r="E104" s="1" t="s">
        <v>192</v>
      </c>
      <c r="F104" s="4">
        <v>2.0</v>
      </c>
      <c r="G104" s="4">
        <v>2.0</v>
      </c>
      <c r="H104" s="4">
        <v>2.0</v>
      </c>
      <c r="I104" s="4">
        <v>0.0</v>
      </c>
      <c r="J104" s="1">
        <v>3.0</v>
      </c>
      <c r="K104" s="1">
        <v>-2.0</v>
      </c>
      <c r="L104" s="1">
        <v>1.0</v>
      </c>
      <c r="M104" s="1">
        <v>3.0</v>
      </c>
      <c r="N104" s="1">
        <v>2.0</v>
      </c>
      <c r="O104" s="1">
        <v>0.0</v>
      </c>
      <c r="P104" s="1">
        <v>4.0</v>
      </c>
      <c r="Q104" s="1" t="s">
        <v>333</v>
      </c>
      <c r="S104" s="1">
        <v>161.0</v>
      </c>
      <c r="T104" s="1" t="s">
        <v>28</v>
      </c>
      <c r="U104" s="7">
        <v>7.0</v>
      </c>
      <c r="V104" s="7">
        <v>2.0</v>
      </c>
      <c r="W104" s="7">
        <v>13.0</v>
      </c>
    </row>
    <row r="105">
      <c r="A105" s="3">
        <v>46215.42958333333</v>
      </c>
      <c r="B105" s="1" t="s">
        <v>334</v>
      </c>
      <c r="C105" s="1" t="s">
        <v>208</v>
      </c>
      <c r="D105" s="1">
        <v>1.0</v>
      </c>
      <c r="E105" s="1" t="s">
        <v>192</v>
      </c>
      <c r="F105" s="4">
        <v>3.0</v>
      </c>
      <c r="G105" s="4">
        <v>1.0</v>
      </c>
      <c r="H105" s="4">
        <v>2.0</v>
      </c>
      <c r="I105" s="4">
        <v>0.0</v>
      </c>
      <c r="J105" s="1">
        <v>4.0</v>
      </c>
      <c r="K105" s="1">
        <v>-1.0</v>
      </c>
      <c r="L105" s="1">
        <v>0.0</v>
      </c>
      <c r="M105" s="1">
        <v>3.0</v>
      </c>
      <c r="N105" s="1">
        <v>3.0</v>
      </c>
      <c r="O105" s="1">
        <v>2.0</v>
      </c>
      <c r="P105" s="1">
        <v>2.0</v>
      </c>
      <c r="Q105" s="1" t="s">
        <v>335</v>
      </c>
      <c r="S105" s="1">
        <v>175.0</v>
      </c>
      <c r="T105" s="1" t="s">
        <v>28</v>
      </c>
      <c r="U105" s="7">
        <v>5.0</v>
      </c>
      <c r="V105" s="7">
        <v>5.0</v>
      </c>
      <c r="W105" s="7">
        <v>8.0</v>
      </c>
    </row>
    <row r="106">
      <c r="A106" s="3">
        <v>46215.43387731481</v>
      </c>
      <c r="B106" s="1" t="s">
        <v>336</v>
      </c>
      <c r="C106" s="1" t="s">
        <v>189</v>
      </c>
      <c r="D106" s="1">
        <v>1.0</v>
      </c>
      <c r="E106" s="1" t="s">
        <v>184</v>
      </c>
      <c r="F106" s="4">
        <v>0.0</v>
      </c>
      <c r="G106" s="4">
        <v>1.0</v>
      </c>
      <c r="H106" s="4">
        <v>5.0</v>
      </c>
      <c r="I106" s="4">
        <v>0.0</v>
      </c>
      <c r="J106" s="1">
        <v>4.0</v>
      </c>
      <c r="K106" s="1">
        <v>0.0</v>
      </c>
      <c r="L106" s="1">
        <v>2.0</v>
      </c>
      <c r="M106" s="1">
        <v>0.0</v>
      </c>
      <c r="N106" s="1">
        <v>0.0</v>
      </c>
      <c r="O106" s="1">
        <v>1.0</v>
      </c>
      <c r="P106" s="1">
        <v>0.0</v>
      </c>
      <c r="S106" s="1">
        <v>35.0</v>
      </c>
      <c r="T106" s="1" t="s">
        <v>34</v>
      </c>
      <c r="U106" s="7">
        <v>0.0</v>
      </c>
      <c r="V106" s="7">
        <v>1.0</v>
      </c>
      <c r="W106" s="7">
        <v>7.0</v>
      </c>
    </row>
    <row r="107">
      <c r="A107" s="3">
        <v>46215.43738425926</v>
      </c>
      <c r="B107" s="1" t="s">
        <v>337</v>
      </c>
      <c r="C107" s="1" t="s">
        <v>254</v>
      </c>
      <c r="D107" s="1">
        <v>1.0</v>
      </c>
      <c r="E107" s="1" t="s">
        <v>102</v>
      </c>
      <c r="F107" s="4">
        <v>1.0</v>
      </c>
      <c r="G107" s="4">
        <v>1.0</v>
      </c>
      <c r="H107" s="4">
        <v>4.0</v>
      </c>
      <c r="I107" s="4">
        <v>0.0</v>
      </c>
      <c r="J107" s="1">
        <v>4.0</v>
      </c>
      <c r="K107" s="1">
        <v>-1.0</v>
      </c>
      <c r="L107" s="1">
        <v>3.0</v>
      </c>
      <c r="M107" s="1">
        <v>3.0</v>
      </c>
      <c r="N107" s="1">
        <v>3.0</v>
      </c>
      <c r="O107" s="1">
        <v>2.0</v>
      </c>
      <c r="P107" s="1">
        <v>1.0</v>
      </c>
      <c r="Q107" s="1" t="s">
        <v>338</v>
      </c>
      <c r="R107" s="1" t="s">
        <v>339</v>
      </c>
      <c r="S107" s="1">
        <v>136.0</v>
      </c>
      <c r="T107" s="1" t="s">
        <v>34</v>
      </c>
      <c r="U107" s="7">
        <v>4.0</v>
      </c>
      <c r="V107" s="7">
        <v>5.0</v>
      </c>
      <c r="W107" s="7">
        <v>7.0</v>
      </c>
    </row>
    <row r="108">
      <c r="A108" s="3">
        <v>46215.44185185185</v>
      </c>
      <c r="B108" s="1" t="s">
        <v>340</v>
      </c>
      <c r="C108" s="1" t="s">
        <v>341</v>
      </c>
      <c r="D108" s="1">
        <v>1.0</v>
      </c>
      <c r="E108" s="1" t="s">
        <v>31</v>
      </c>
      <c r="F108" s="4">
        <v>3.0</v>
      </c>
      <c r="G108" s="4">
        <v>0.0</v>
      </c>
      <c r="H108" s="4">
        <v>3.0</v>
      </c>
      <c r="I108" s="4">
        <v>0.0</v>
      </c>
      <c r="J108" s="1">
        <v>6.0</v>
      </c>
      <c r="K108" s="1">
        <v>1.0</v>
      </c>
      <c r="L108" s="1">
        <v>1.0</v>
      </c>
      <c r="M108" s="1">
        <v>1.0</v>
      </c>
      <c r="N108" s="1">
        <v>4.0</v>
      </c>
      <c r="O108" s="1">
        <v>3.0</v>
      </c>
      <c r="P108" s="1">
        <v>2.0</v>
      </c>
      <c r="Q108" s="1" t="s">
        <v>342</v>
      </c>
      <c r="R108" s="1" t="s">
        <v>343</v>
      </c>
      <c r="S108" s="1">
        <v>491.0</v>
      </c>
      <c r="T108" s="1" t="s">
        <v>34</v>
      </c>
      <c r="U108" s="7">
        <v>3.0</v>
      </c>
      <c r="V108" s="7">
        <v>7.0</v>
      </c>
      <c r="W108" s="7">
        <v>4.0</v>
      </c>
    </row>
    <row r="109">
      <c r="A109" s="3">
        <v>46215.452152777776</v>
      </c>
      <c r="B109" s="1" t="s">
        <v>344</v>
      </c>
      <c r="C109" s="1" t="s">
        <v>157</v>
      </c>
      <c r="D109" s="1">
        <v>1.0</v>
      </c>
      <c r="E109" s="1" t="s">
        <v>102</v>
      </c>
      <c r="F109" s="4">
        <v>0.0</v>
      </c>
      <c r="G109" s="4">
        <v>1.0</v>
      </c>
      <c r="H109" s="4">
        <v>3.0</v>
      </c>
      <c r="I109" s="4">
        <v>2.0</v>
      </c>
      <c r="J109" s="1">
        <v>4.0</v>
      </c>
      <c r="K109" s="1">
        <v>1.0</v>
      </c>
      <c r="L109" s="1">
        <v>0.0</v>
      </c>
      <c r="M109" s="1">
        <v>1.0</v>
      </c>
      <c r="N109" s="1">
        <v>3.0</v>
      </c>
      <c r="O109" s="1">
        <v>3.0</v>
      </c>
      <c r="P109" s="1">
        <v>0.0</v>
      </c>
      <c r="S109" s="1">
        <v>236.0</v>
      </c>
      <c r="T109" s="1" t="s">
        <v>34</v>
      </c>
      <c r="U109" s="7">
        <v>1.0</v>
      </c>
      <c r="V109" s="7">
        <v>6.0</v>
      </c>
      <c r="W109" s="7">
        <v>3.0</v>
      </c>
    </row>
    <row r="110">
      <c r="A110" s="3">
        <v>46215.456770833334</v>
      </c>
      <c r="B110" s="1" t="s">
        <v>345</v>
      </c>
      <c r="C110" s="1" t="s">
        <v>237</v>
      </c>
      <c r="D110" s="1">
        <v>0.0</v>
      </c>
      <c r="E110" s="1" t="s">
        <v>102</v>
      </c>
      <c r="F110" s="4">
        <v>3.0</v>
      </c>
      <c r="G110" s="4">
        <v>0.0</v>
      </c>
      <c r="H110" s="4">
        <v>3.0</v>
      </c>
      <c r="I110" s="4">
        <v>0.0</v>
      </c>
      <c r="J110" s="1">
        <v>4.0</v>
      </c>
      <c r="K110" s="1">
        <v>0.0</v>
      </c>
      <c r="L110" s="1">
        <v>0.0</v>
      </c>
      <c r="M110" s="1">
        <v>2.0</v>
      </c>
      <c r="N110" s="1">
        <v>2.0</v>
      </c>
      <c r="O110" s="1">
        <v>2.0</v>
      </c>
      <c r="P110" s="1">
        <v>2.0</v>
      </c>
      <c r="S110" s="1">
        <v>26.0</v>
      </c>
      <c r="T110" s="1" t="s">
        <v>28</v>
      </c>
      <c r="U110" s="7">
        <v>4.0</v>
      </c>
      <c r="V110" s="7">
        <v>4.0</v>
      </c>
      <c r="W110" s="7">
        <v>8.0</v>
      </c>
    </row>
    <row r="111">
      <c r="A111" s="3">
        <v>46215.45841435185</v>
      </c>
      <c r="B111" s="1" t="s">
        <v>347</v>
      </c>
      <c r="C111" s="1" t="s">
        <v>237</v>
      </c>
      <c r="D111" s="1">
        <v>1.0</v>
      </c>
      <c r="E111" s="1" t="s">
        <v>102</v>
      </c>
      <c r="F111" s="4">
        <v>2.0</v>
      </c>
      <c r="G111" s="4">
        <v>1.0</v>
      </c>
      <c r="H111" s="4">
        <v>3.0</v>
      </c>
      <c r="I111" s="4">
        <v>0.0</v>
      </c>
      <c r="J111" s="1">
        <v>3.0</v>
      </c>
      <c r="K111" s="1">
        <v>0.0</v>
      </c>
      <c r="L111" s="1">
        <v>2.0</v>
      </c>
      <c r="M111" s="1">
        <v>1.0</v>
      </c>
      <c r="N111" s="1">
        <v>3.0</v>
      </c>
      <c r="O111" s="1">
        <v>2.0</v>
      </c>
      <c r="P111" s="1">
        <v>3.0</v>
      </c>
      <c r="Q111" s="1" t="s">
        <v>348</v>
      </c>
      <c r="S111" s="1">
        <v>133.0</v>
      </c>
      <c r="T111" s="1" t="s">
        <v>28</v>
      </c>
      <c r="U111" s="7">
        <v>4.0</v>
      </c>
      <c r="V111" s="7">
        <v>5.0</v>
      </c>
      <c r="W111" s="7">
        <v>7.0</v>
      </c>
    </row>
    <row r="112">
      <c r="A112" s="3">
        <v>46215.46454861111</v>
      </c>
      <c r="B112" s="1" t="s">
        <v>349</v>
      </c>
      <c r="C112" s="1" t="s">
        <v>350</v>
      </c>
      <c r="D112" s="1">
        <v>1.0</v>
      </c>
      <c r="E112" s="1" t="s">
        <v>192</v>
      </c>
      <c r="F112" s="4">
        <v>1.0</v>
      </c>
      <c r="G112" s="4">
        <v>2.0</v>
      </c>
      <c r="H112" s="4">
        <v>3.0</v>
      </c>
      <c r="I112" s="4">
        <v>0.0</v>
      </c>
      <c r="J112" s="1">
        <v>7.0</v>
      </c>
      <c r="K112" s="1">
        <v>2.0</v>
      </c>
      <c r="L112" s="1">
        <v>0.0</v>
      </c>
      <c r="M112" s="1">
        <v>0.0</v>
      </c>
      <c r="N112" s="1">
        <v>4.0</v>
      </c>
      <c r="O112" s="1">
        <v>3.0</v>
      </c>
      <c r="P112" s="1">
        <v>2.0</v>
      </c>
      <c r="S112" s="1">
        <v>107.0</v>
      </c>
      <c r="T112" s="1" t="s">
        <v>28</v>
      </c>
      <c r="U112" s="7">
        <v>2.0</v>
      </c>
      <c r="V112" s="7">
        <v>7.0</v>
      </c>
      <c r="W112" s="7">
        <v>3.0</v>
      </c>
    </row>
    <row r="113">
      <c r="A113" s="3">
        <v>46215.47696759259</v>
      </c>
      <c r="B113" s="1" t="s">
        <v>351</v>
      </c>
      <c r="C113" s="1" t="s">
        <v>66</v>
      </c>
      <c r="D113" s="1">
        <v>1.0</v>
      </c>
      <c r="E113" s="1" t="s">
        <v>49</v>
      </c>
      <c r="F113" s="4">
        <v>1.0</v>
      </c>
      <c r="G113" s="4">
        <v>0.0</v>
      </c>
      <c r="H113" s="4">
        <v>2.0</v>
      </c>
      <c r="I113" s="4">
        <v>3.0</v>
      </c>
      <c r="J113" s="1">
        <v>3.0</v>
      </c>
      <c r="K113" s="1">
        <v>-2.0</v>
      </c>
      <c r="L113" s="1">
        <v>0.0</v>
      </c>
      <c r="M113" s="1">
        <v>2.0</v>
      </c>
      <c r="N113" s="1">
        <v>4.0</v>
      </c>
      <c r="O113" s="1">
        <v>2.0</v>
      </c>
      <c r="P113" s="1">
        <v>0.0</v>
      </c>
      <c r="R113" s="1" t="s">
        <v>352</v>
      </c>
      <c r="S113" s="1">
        <v>508.0</v>
      </c>
      <c r="T113" s="1" t="s">
        <v>28</v>
      </c>
      <c r="U113" s="7">
        <v>2.0</v>
      </c>
      <c r="V113" s="7">
        <v>6.0</v>
      </c>
      <c r="W113" s="7">
        <v>4.0</v>
      </c>
    </row>
    <row r="114">
      <c r="A114" s="3">
        <v>46215.481307870374</v>
      </c>
      <c r="B114" s="1" t="s">
        <v>353</v>
      </c>
      <c r="C114" s="1" t="s">
        <v>286</v>
      </c>
      <c r="D114" s="1">
        <v>1.0</v>
      </c>
      <c r="E114" s="1" t="s">
        <v>184</v>
      </c>
      <c r="F114" s="4">
        <v>0.0</v>
      </c>
      <c r="G114" s="4">
        <v>1.0</v>
      </c>
      <c r="H114" s="4">
        <v>3.0</v>
      </c>
      <c r="I114" s="4">
        <v>2.0</v>
      </c>
      <c r="J114" s="1">
        <v>2.0</v>
      </c>
      <c r="K114" s="1">
        <v>-2.0</v>
      </c>
      <c r="L114" s="1">
        <v>0.0</v>
      </c>
      <c r="M114" s="1">
        <v>3.0</v>
      </c>
      <c r="N114" s="1">
        <v>3.0</v>
      </c>
      <c r="O114" s="1">
        <v>2.0</v>
      </c>
      <c r="P114" s="1">
        <v>2.0</v>
      </c>
      <c r="Q114" s="1" t="s">
        <v>354</v>
      </c>
      <c r="S114" s="1">
        <v>63.0</v>
      </c>
      <c r="T114" s="1" t="s">
        <v>34</v>
      </c>
      <c r="U114" s="7">
        <v>5.0</v>
      </c>
      <c r="V114" s="7">
        <v>5.0</v>
      </c>
      <c r="W114" s="7">
        <v>8.0</v>
      </c>
    </row>
    <row r="115">
      <c r="A115" s="3">
        <v>46215.48701388889</v>
      </c>
      <c r="B115" s="1" t="s">
        <v>355</v>
      </c>
      <c r="C115" s="1" t="s">
        <v>356</v>
      </c>
      <c r="D115" s="1">
        <v>1.0</v>
      </c>
      <c r="E115" s="1" t="s">
        <v>184</v>
      </c>
      <c r="F115" s="4">
        <v>1.0</v>
      </c>
      <c r="G115" s="4">
        <v>3.0</v>
      </c>
      <c r="H115" s="4">
        <v>2.0</v>
      </c>
      <c r="I115" s="4">
        <v>0.0</v>
      </c>
      <c r="J115" s="1">
        <v>5.0</v>
      </c>
      <c r="K115" s="1">
        <v>1.0</v>
      </c>
      <c r="L115" s="1">
        <v>-1.0</v>
      </c>
      <c r="M115" s="1">
        <v>1.0</v>
      </c>
      <c r="N115" s="1">
        <v>3.0</v>
      </c>
      <c r="O115" s="1">
        <v>2.0</v>
      </c>
      <c r="P115" s="1">
        <v>2.0</v>
      </c>
      <c r="Q115" s="1" t="s">
        <v>357</v>
      </c>
      <c r="S115" s="1">
        <v>191.0</v>
      </c>
      <c r="T115" s="1" t="s">
        <v>34</v>
      </c>
      <c r="U115" s="7">
        <v>3.0</v>
      </c>
      <c r="V115" s="7">
        <v>5.0</v>
      </c>
      <c r="W115" s="7">
        <v>6.0</v>
      </c>
    </row>
    <row r="116">
      <c r="A116" s="3">
        <v>46215.510104166664</v>
      </c>
      <c r="B116" s="1" t="s">
        <v>358</v>
      </c>
      <c r="C116" s="1" t="s">
        <v>200</v>
      </c>
      <c r="D116" s="1">
        <v>1.0</v>
      </c>
      <c r="E116" s="1" t="s">
        <v>184</v>
      </c>
      <c r="F116" s="4">
        <v>0.0</v>
      </c>
      <c r="G116" s="4">
        <v>4.0</v>
      </c>
      <c r="H116" s="4">
        <v>2.0</v>
      </c>
      <c r="I116" s="4">
        <v>0.0</v>
      </c>
      <c r="J116" s="1">
        <v>6.0</v>
      </c>
      <c r="K116" s="1">
        <v>1.0</v>
      </c>
      <c r="L116" s="1">
        <v>-1.0</v>
      </c>
      <c r="M116" s="1">
        <v>1.0</v>
      </c>
      <c r="N116" s="1">
        <v>4.0</v>
      </c>
      <c r="O116" s="1">
        <v>4.0</v>
      </c>
      <c r="P116" s="1">
        <v>1.0</v>
      </c>
      <c r="Q116" s="1" t="s">
        <v>359</v>
      </c>
      <c r="S116" s="1">
        <v>190.0</v>
      </c>
      <c r="T116" s="1" t="s">
        <v>28</v>
      </c>
      <c r="U116" s="7">
        <v>2.0</v>
      </c>
      <c r="V116" s="7">
        <v>8.0</v>
      </c>
      <c r="W116" s="7">
        <v>2.0</v>
      </c>
    </row>
    <row r="117">
      <c r="A117" s="3">
        <v>46215.52449074074</v>
      </c>
      <c r="B117" s="1" t="s">
        <v>360</v>
      </c>
      <c r="C117" s="1" t="s">
        <v>25</v>
      </c>
      <c r="D117" s="1">
        <v>1.0</v>
      </c>
      <c r="E117" s="1" t="s">
        <v>26</v>
      </c>
      <c r="F117" s="4">
        <v>3.0</v>
      </c>
      <c r="G117" s="4">
        <v>2.0</v>
      </c>
      <c r="H117" s="4">
        <v>1.0</v>
      </c>
      <c r="I117" s="4">
        <v>0.0</v>
      </c>
      <c r="J117" s="1">
        <v>4.0</v>
      </c>
      <c r="K117" s="1">
        <v>-1.0</v>
      </c>
      <c r="L117" s="1">
        <v>0.0</v>
      </c>
      <c r="M117" s="1">
        <v>3.0</v>
      </c>
      <c r="N117" s="1">
        <v>3.0</v>
      </c>
      <c r="O117" s="1">
        <v>2.0</v>
      </c>
      <c r="P117" s="1">
        <v>3.0</v>
      </c>
      <c r="S117" s="1">
        <v>63.0</v>
      </c>
      <c r="T117" s="1" t="s">
        <v>28</v>
      </c>
      <c r="U117" s="7">
        <v>6.0</v>
      </c>
      <c r="V117" s="7">
        <v>5.0</v>
      </c>
      <c r="W117" s="7">
        <v>9.0</v>
      </c>
    </row>
    <row r="118">
      <c r="A118" s="3">
        <v>46215.52892361111</v>
      </c>
      <c r="B118" s="1" t="s">
        <v>361</v>
      </c>
      <c r="C118" s="1" t="s">
        <v>362</v>
      </c>
      <c r="D118" s="1">
        <v>1.0</v>
      </c>
      <c r="E118" s="1" t="s">
        <v>52</v>
      </c>
      <c r="F118" s="4">
        <v>1.0</v>
      </c>
      <c r="G118" s="4">
        <v>2.0</v>
      </c>
      <c r="H118" s="4">
        <v>3.0</v>
      </c>
      <c r="I118" s="4">
        <v>0.0</v>
      </c>
      <c r="J118" s="1">
        <v>5.0</v>
      </c>
      <c r="K118" s="1">
        <v>1.0</v>
      </c>
      <c r="L118" s="1">
        <v>2.0</v>
      </c>
      <c r="M118" s="1">
        <v>2.0</v>
      </c>
      <c r="N118" s="1">
        <v>3.0</v>
      </c>
      <c r="O118" s="1">
        <v>3.0</v>
      </c>
      <c r="P118" s="1">
        <v>2.0</v>
      </c>
      <c r="Q118" s="1" t="s">
        <v>363</v>
      </c>
      <c r="S118" s="1">
        <v>268.0</v>
      </c>
      <c r="T118" s="1" t="s">
        <v>28</v>
      </c>
      <c r="U118" s="7">
        <v>4.0</v>
      </c>
      <c r="V118" s="7">
        <v>6.0</v>
      </c>
      <c r="W118" s="7">
        <v>6.0</v>
      </c>
    </row>
    <row r="119">
      <c r="A119" s="3">
        <v>46215.52894675926</v>
      </c>
      <c r="B119" s="1" t="s">
        <v>364</v>
      </c>
      <c r="C119" s="1" t="s">
        <v>365</v>
      </c>
      <c r="D119" s="1">
        <v>1.0</v>
      </c>
      <c r="E119" s="1" t="s">
        <v>184</v>
      </c>
      <c r="F119" s="4">
        <v>2.0</v>
      </c>
      <c r="G119" s="4">
        <v>2.0</v>
      </c>
      <c r="H119" s="4">
        <v>2.0</v>
      </c>
      <c r="I119" s="4">
        <v>0.0</v>
      </c>
      <c r="J119" s="1">
        <v>5.0</v>
      </c>
      <c r="K119" s="1">
        <v>2.0</v>
      </c>
      <c r="L119" s="1">
        <v>0.0</v>
      </c>
      <c r="M119" s="1">
        <v>3.0</v>
      </c>
      <c r="N119" s="1">
        <v>1.0</v>
      </c>
      <c r="O119" s="1">
        <v>2.0</v>
      </c>
      <c r="P119" s="1">
        <v>3.0</v>
      </c>
      <c r="S119" s="1">
        <v>96.0</v>
      </c>
      <c r="T119" s="1" t="s">
        <v>34</v>
      </c>
      <c r="U119" s="7">
        <v>6.0</v>
      </c>
      <c r="V119" s="7">
        <v>3.0</v>
      </c>
      <c r="W119" s="7">
        <v>11.0</v>
      </c>
    </row>
    <row r="120">
      <c r="A120" s="3">
        <v>46215.52929398148</v>
      </c>
      <c r="B120" s="1" t="s">
        <v>366</v>
      </c>
      <c r="C120" s="1" t="s">
        <v>367</v>
      </c>
      <c r="D120" s="1">
        <v>1.0</v>
      </c>
      <c r="E120" s="1" t="s">
        <v>184</v>
      </c>
      <c r="F120" s="4">
        <v>1.0</v>
      </c>
      <c r="G120" s="4">
        <v>3.0</v>
      </c>
      <c r="H120" s="4">
        <v>2.0</v>
      </c>
      <c r="I120" s="4">
        <v>0.0</v>
      </c>
      <c r="J120" s="1">
        <v>5.0</v>
      </c>
      <c r="K120" s="1">
        <v>1.0</v>
      </c>
      <c r="L120" s="1">
        <v>-1.0</v>
      </c>
      <c r="M120" s="1">
        <v>1.0</v>
      </c>
      <c r="N120" s="1">
        <v>1.0</v>
      </c>
      <c r="O120" s="1">
        <v>2.0</v>
      </c>
      <c r="P120" s="1">
        <v>2.0</v>
      </c>
      <c r="S120" s="1">
        <v>87.0</v>
      </c>
      <c r="T120" s="1" t="s">
        <v>34</v>
      </c>
      <c r="U120" s="7">
        <v>3.0</v>
      </c>
      <c r="V120" s="7">
        <v>3.0</v>
      </c>
      <c r="W120" s="7">
        <v>8.0</v>
      </c>
    </row>
    <row r="121">
      <c r="A121" s="3">
        <v>46215.53269675926</v>
      </c>
      <c r="B121" s="1" t="s">
        <v>368</v>
      </c>
      <c r="C121" s="1" t="s">
        <v>369</v>
      </c>
      <c r="D121" s="1">
        <v>1.0</v>
      </c>
      <c r="E121" s="1" t="s">
        <v>102</v>
      </c>
      <c r="F121" s="4">
        <v>2.0</v>
      </c>
      <c r="G121" s="4">
        <v>3.0</v>
      </c>
      <c r="H121" s="4">
        <v>1.0</v>
      </c>
      <c r="I121" s="4">
        <v>0.0</v>
      </c>
      <c r="J121" s="1">
        <v>7.0</v>
      </c>
      <c r="K121" s="1">
        <v>2.0</v>
      </c>
      <c r="L121" s="1">
        <v>0.0</v>
      </c>
      <c r="M121" s="1">
        <v>1.0</v>
      </c>
      <c r="N121" s="1">
        <v>4.0</v>
      </c>
      <c r="O121" s="1">
        <v>4.0</v>
      </c>
      <c r="P121" s="1">
        <v>0.0</v>
      </c>
      <c r="Q121" s="1" t="s">
        <v>370</v>
      </c>
      <c r="S121" s="1">
        <v>465.0</v>
      </c>
      <c r="T121" s="1" t="s">
        <v>34</v>
      </c>
      <c r="U121" s="7">
        <v>1.0</v>
      </c>
      <c r="V121" s="7">
        <v>8.0</v>
      </c>
      <c r="W121" s="7">
        <v>1.0</v>
      </c>
    </row>
    <row r="122">
      <c r="A122" s="3">
        <v>46215.53302083333</v>
      </c>
      <c r="B122" s="1" t="s">
        <v>371</v>
      </c>
      <c r="C122" s="1" t="s">
        <v>372</v>
      </c>
      <c r="D122" s="1">
        <v>1.0</v>
      </c>
      <c r="E122" s="1" t="s">
        <v>184</v>
      </c>
      <c r="F122" s="4">
        <v>4.0</v>
      </c>
      <c r="G122" s="4">
        <v>1.0</v>
      </c>
      <c r="H122" s="4">
        <v>1.0</v>
      </c>
      <c r="I122" s="4">
        <v>0.0</v>
      </c>
      <c r="J122" s="1">
        <v>4.0</v>
      </c>
      <c r="K122" s="1">
        <v>-1.0</v>
      </c>
      <c r="L122" s="1">
        <v>2.0</v>
      </c>
      <c r="M122" s="1">
        <v>2.0</v>
      </c>
      <c r="N122" s="1">
        <v>3.0</v>
      </c>
      <c r="O122" s="1">
        <v>2.0</v>
      </c>
      <c r="P122" s="1">
        <v>2.0</v>
      </c>
      <c r="Q122" s="1" t="s">
        <v>373</v>
      </c>
      <c r="S122" s="1">
        <v>303.0</v>
      </c>
      <c r="T122" s="1" t="s">
        <v>34</v>
      </c>
      <c r="U122" s="7">
        <v>4.0</v>
      </c>
      <c r="V122" s="7">
        <v>5.0</v>
      </c>
      <c r="W122" s="7">
        <v>7.0</v>
      </c>
    </row>
    <row r="123">
      <c r="A123" s="3">
        <v>46215.53760416667</v>
      </c>
      <c r="B123" s="1" t="s">
        <v>374</v>
      </c>
      <c r="C123" s="1" t="s">
        <v>228</v>
      </c>
      <c r="D123" s="1">
        <v>1.0</v>
      </c>
      <c r="E123" s="1" t="s">
        <v>192</v>
      </c>
      <c r="F123" s="4">
        <v>0.0</v>
      </c>
      <c r="G123" s="4">
        <v>6.0</v>
      </c>
      <c r="H123" s="4">
        <v>0.0</v>
      </c>
      <c r="I123" s="4">
        <v>0.0</v>
      </c>
      <c r="J123" s="1">
        <v>6.0</v>
      </c>
      <c r="K123" s="1">
        <v>-2.0</v>
      </c>
      <c r="L123" s="1">
        <v>0.0</v>
      </c>
      <c r="M123" s="1">
        <v>1.0</v>
      </c>
      <c r="N123" s="1">
        <v>3.0</v>
      </c>
      <c r="O123" s="1">
        <v>1.0</v>
      </c>
      <c r="P123" s="1">
        <v>3.0</v>
      </c>
      <c r="Q123" s="1" t="s">
        <v>375</v>
      </c>
      <c r="S123" s="1">
        <v>128.0</v>
      </c>
      <c r="T123" s="1" t="s">
        <v>28</v>
      </c>
      <c r="U123" s="7">
        <v>4.0</v>
      </c>
      <c r="V123" s="7">
        <v>4.0</v>
      </c>
      <c r="W123" s="7">
        <v>8.0</v>
      </c>
    </row>
    <row r="124">
      <c r="A124" s="3">
        <v>46215.54607638889</v>
      </c>
      <c r="B124" s="1" t="s">
        <v>376</v>
      </c>
      <c r="C124" s="1" t="s">
        <v>377</v>
      </c>
      <c r="D124" s="1">
        <v>1.0</v>
      </c>
      <c r="E124" s="1" t="s">
        <v>184</v>
      </c>
      <c r="F124" s="4">
        <v>1.0</v>
      </c>
      <c r="G124" s="4">
        <v>3.0</v>
      </c>
      <c r="H124" s="4">
        <v>2.0</v>
      </c>
      <c r="I124" s="4">
        <v>0.0</v>
      </c>
      <c r="J124" s="1">
        <v>6.0</v>
      </c>
      <c r="K124" s="1">
        <v>3.0</v>
      </c>
      <c r="L124" s="1">
        <v>-3.0</v>
      </c>
      <c r="M124" s="1">
        <v>3.0</v>
      </c>
      <c r="N124" s="1">
        <v>3.0</v>
      </c>
      <c r="O124" s="1">
        <v>3.0</v>
      </c>
      <c r="P124" s="1">
        <v>0.0</v>
      </c>
      <c r="Q124" s="1" t="s">
        <v>378</v>
      </c>
      <c r="S124" s="1">
        <v>322.0</v>
      </c>
      <c r="T124" s="1" t="s">
        <v>28</v>
      </c>
      <c r="U124" s="7">
        <v>3.0</v>
      </c>
      <c r="V124" s="7">
        <v>6.0</v>
      </c>
      <c r="W124" s="7">
        <v>5.0</v>
      </c>
    </row>
    <row r="125">
      <c r="A125" s="3">
        <v>46215.551400462966</v>
      </c>
      <c r="B125" s="1" t="s">
        <v>379</v>
      </c>
      <c r="C125" s="1" t="s">
        <v>41</v>
      </c>
      <c r="D125" s="1">
        <v>1.0</v>
      </c>
      <c r="E125" s="1" t="s">
        <v>31</v>
      </c>
      <c r="F125" s="4">
        <v>3.0</v>
      </c>
      <c r="G125" s="4">
        <v>1.0</v>
      </c>
      <c r="H125" s="4">
        <v>2.0</v>
      </c>
      <c r="I125" s="4">
        <v>0.0</v>
      </c>
      <c r="J125" s="1">
        <v>5.0</v>
      </c>
      <c r="K125" s="1">
        <v>0.0</v>
      </c>
      <c r="L125" s="1">
        <v>1.0</v>
      </c>
      <c r="M125" s="1">
        <v>1.0</v>
      </c>
      <c r="N125" s="1">
        <v>3.0</v>
      </c>
      <c r="O125" s="1">
        <v>3.0</v>
      </c>
      <c r="P125" s="1">
        <v>2.0</v>
      </c>
      <c r="Q125" s="1" t="s">
        <v>380</v>
      </c>
      <c r="S125" s="1">
        <v>121.0</v>
      </c>
      <c r="T125" s="1" t="s">
        <v>28</v>
      </c>
      <c r="U125" s="7">
        <v>3.0</v>
      </c>
      <c r="V125" s="7">
        <v>6.0</v>
      </c>
      <c r="W125" s="7">
        <v>5.0</v>
      </c>
    </row>
    <row r="126">
      <c r="A126" s="3">
        <v>46215.577210648145</v>
      </c>
      <c r="B126" s="1" t="s">
        <v>381</v>
      </c>
      <c r="C126" s="1" t="s">
        <v>252</v>
      </c>
      <c r="D126" s="1">
        <v>1.0</v>
      </c>
      <c r="E126" s="1" t="s">
        <v>192</v>
      </c>
      <c r="F126" s="4">
        <v>1.0</v>
      </c>
      <c r="G126" s="4">
        <v>2.0</v>
      </c>
      <c r="H126" s="4">
        <v>3.0</v>
      </c>
      <c r="I126" s="4">
        <v>0.0</v>
      </c>
      <c r="J126" s="1">
        <v>2.0</v>
      </c>
      <c r="K126" s="1">
        <v>-2.0</v>
      </c>
      <c r="L126" s="1">
        <v>-3.0</v>
      </c>
      <c r="M126" s="1">
        <v>1.0</v>
      </c>
      <c r="N126" s="1">
        <v>3.0</v>
      </c>
      <c r="O126" s="1">
        <v>2.0</v>
      </c>
      <c r="P126" s="1">
        <v>1.0</v>
      </c>
      <c r="S126" s="1">
        <v>57.0</v>
      </c>
      <c r="T126" s="1" t="s">
        <v>28</v>
      </c>
      <c r="U126" s="7">
        <v>2.0</v>
      </c>
      <c r="V126" s="7">
        <v>5.0</v>
      </c>
      <c r="W126" s="7">
        <v>5.0</v>
      </c>
    </row>
    <row r="127">
      <c r="A127" s="3">
        <v>46215.59079861111</v>
      </c>
      <c r="B127" s="1" t="s">
        <v>382</v>
      </c>
      <c r="C127" s="1" t="s">
        <v>96</v>
      </c>
      <c r="D127" s="1">
        <v>1.0</v>
      </c>
      <c r="E127" s="1" t="s">
        <v>85</v>
      </c>
      <c r="F127" s="4">
        <v>2.0</v>
      </c>
      <c r="G127" s="4">
        <v>3.0</v>
      </c>
      <c r="H127" s="4">
        <v>1.0</v>
      </c>
      <c r="I127" s="4">
        <v>0.0</v>
      </c>
      <c r="J127" s="1">
        <v>3.0</v>
      </c>
      <c r="K127" s="1">
        <v>-1.0</v>
      </c>
      <c r="L127" s="1">
        <v>2.0</v>
      </c>
      <c r="M127" s="1">
        <v>2.0</v>
      </c>
      <c r="N127" s="1">
        <v>2.0</v>
      </c>
      <c r="O127" s="1">
        <v>2.0</v>
      </c>
      <c r="P127" s="1">
        <v>3.0</v>
      </c>
      <c r="S127" s="1">
        <v>86.0</v>
      </c>
      <c r="T127" s="1" t="s">
        <v>34</v>
      </c>
      <c r="U127" s="7">
        <v>5.0</v>
      </c>
      <c r="V127" s="7">
        <v>4.0</v>
      </c>
      <c r="W127" s="7">
        <v>9.0</v>
      </c>
    </row>
    <row r="128">
      <c r="A128" s="3">
        <v>46215.61096064815</v>
      </c>
      <c r="B128" s="1" t="s">
        <v>383</v>
      </c>
      <c r="C128" s="1" t="s">
        <v>384</v>
      </c>
      <c r="D128" s="1">
        <v>1.0</v>
      </c>
      <c r="E128" s="1" t="s">
        <v>184</v>
      </c>
      <c r="F128" s="4">
        <v>3.0</v>
      </c>
      <c r="G128" s="4">
        <v>0.0</v>
      </c>
      <c r="H128" s="4">
        <v>3.0</v>
      </c>
      <c r="I128" s="4">
        <v>0.0</v>
      </c>
      <c r="J128" s="1">
        <v>6.0</v>
      </c>
      <c r="K128" s="1">
        <v>0.0</v>
      </c>
      <c r="L128" s="1">
        <v>0.0</v>
      </c>
      <c r="M128" s="1">
        <v>2.0</v>
      </c>
      <c r="N128" s="1">
        <v>3.0</v>
      </c>
      <c r="O128" s="1">
        <v>2.0</v>
      </c>
      <c r="P128" s="1">
        <v>3.0</v>
      </c>
      <c r="Q128" s="1" t="s">
        <v>385</v>
      </c>
      <c r="S128" s="1">
        <v>152.0</v>
      </c>
      <c r="T128" s="1" t="s">
        <v>34</v>
      </c>
      <c r="U128" s="7">
        <v>5.0</v>
      </c>
      <c r="V128" s="7">
        <v>5.0</v>
      </c>
      <c r="W128" s="7">
        <v>8.0</v>
      </c>
    </row>
    <row r="129">
      <c r="A129" s="3">
        <v>46215.625555555554</v>
      </c>
      <c r="B129" s="1" t="s">
        <v>386</v>
      </c>
      <c r="C129" s="1" t="s">
        <v>387</v>
      </c>
      <c r="D129" s="1">
        <v>1.0</v>
      </c>
      <c r="E129" s="1" t="s">
        <v>192</v>
      </c>
      <c r="F129" s="4">
        <v>0.0</v>
      </c>
      <c r="G129" s="4">
        <v>5.0</v>
      </c>
      <c r="H129" s="4">
        <v>1.0</v>
      </c>
      <c r="I129" s="4">
        <v>0.0</v>
      </c>
      <c r="J129" s="1">
        <v>7.0</v>
      </c>
      <c r="K129" s="1">
        <v>3.0</v>
      </c>
      <c r="L129" s="1">
        <v>-2.0</v>
      </c>
      <c r="M129" s="1">
        <v>1.0</v>
      </c>
      <c r="N129" s="1">
        <v>4.0</v>
      </c>
      <c r="O129" s="1">
        <v>4.0</v>
      </c>
      <c r="P129" s="1">
        <v>1.0</v>
      </c>
      <c r="Q129" s="1" t="s">
        <v>388</v>
      </c>
      <c r="R129" s="1" t="s">
        <v>389</v>
      </c>
      <c r="S129" s="1">
        <v>278.0</v>
      </c>
      <c r="T129" s="1" t="s">
        <v>28</v>
      </c>
      <c r="U129" s="7">
        <v>2.0</v>
      </c>
      <c r="V129" s="7">
        <v>8.0</v>
      </c>
      <c r="W129" s="7">
        <v>2.0</v>
      </c>
    </row>
    <row r="130">
      <c r="A130" s="3">
        <v>46215.63269675926</v>
      </c>
      <c r="B130" s="1" t="s">
        <v>390</v>
      </c>
      <c r="C130" s="1" t="s">
        <v>183</v>
      </c>
      <c r="D130" s="1">
        <v>1.0</v>
      </c>
      <c r="E130" s="1" t="s">
        <v>184</v>
      </c>
      <c r="F130" s="4">
        <v>1.0</v>
      </c>
      <c r="G130" s="4">
        <v>2.0</v>
      </c>
      <c r="H130" s="4">
        <v>1.0</v>
      </c>
      <c r="I130" s="4">
        <v>2.0</v>
      </c>
      <c r="J130" s="1">
        <v>3.0</v>
      </c>
      <c r="K130" s="1">
        <v>-1.0</v>
      </c>
      <c r="L130" s="1">
        <v>-2.0</v>
      </c>
      <c r="M130" s="1">
        <v>3.0</v>
      </c>
      <c r="N130" s="1">
        <v>3.0</v>
      </c>
      <c r="O130" s="1">
        <v>2.0</v>
      </c>
      <c r="P130" s="1">
        <v>1.0</v>
      </c>
      <c r="Q130" s="1" t="s">
        <v>391</v>
      </c>
      <c r="S130" s="1">
        <v>337.0</v>
      </c>
      <c r="T130" s="1" t="s">
        <v>28</v>
      </c>
      <c r="U130" s="7">
        <v>4.0</v>
      </c>
      <c r="V130" s="7">
        <v>5.0</v>
      </c>
      <c r="W130" s="7">
        <v>7.0</v>
      </c>
    </row>
    <row r="131">
      <c r="A131" s="3">
        <v>46215.64829861111</v>
      </c>
      <c r="B131" s="1" t="s">
        <v>392</v>
      </c>
      <c r="C131" s="1" t="s">
        <v>393</v>
      </c>
      <c r="D131" s="1">
        <v>1.0</v>
      </c>
      <c r="E131" s="1" t="s">
        <v>184</v>
      </c>
      <c r="F131" s="4">
        <v>1.0</v>
      </c>
      <c r="G131" s="4">
        <v>2.0</v>
      </c>
      <c r="H131" s="4">
        <v>2.0</v>
      </c>
      <c r="I131" s="4">
        <v>1.0</v>
      </c>
      <c r="J131" s="1">
        <v>5.0</v>
      </c>
      <c r="K131" s="1">
        <v>2.0</v>
      </c>
      <c r="L131" s="1">
        <v>1.0</v>
      </c>
      <c r="M131" s="1">
        <v>2.0</v>
      </c>
      <c r="N131" s="1">
        <v>3.0</v>
      </c>
      <c r="O131" s="1">
        <v>3.0</v>
      </c>
      <c r="P131" s="1">
        <v>2.0</v>
      </c>
      <c r="Q131" s="1" t="s">
        <v>394</v>
      </c>
      <c r="R131" s="1" t="s">
        <v>395</v>
      </c>
      <c r="S131" s="1">
        <v>271.0</v>
      </c>
      <c r="T131" s="1" t="s">
        <v>28</v>
      </c>
      <c r="U131" s="7">
        <v>4.0</v>
      </c>
      <c r="V131" s="7">
        <v>6.0</v>
      </c>
      <c r="W131" s="7">
        <v>6.0</v>
      </c>
    </row>
    <row r="132">
      <c r="A132" s="3">
        <v>46215.65377314815</v>
      </c>
      <c r="B132" s="1" t="s">
        <v>396</v>
      </c>
      <c r="C132" s="1" t="s">
        <v>224</v>
      </c>
      <c r="D132" s="1">
        <v>1.0</v>
      </c>
      <c r="E132" s="1" t="s">
        <v>192</v>
      </c>
      <c r="F132" s="4">
        <v>0.0</v>
      </c>
      <c r="G132" s="4">
        <v>2.0</v>
      </c>
      <c r="H132" s="4">
        <v>4.0</v>
      </c>
      <c r="I132" s="4">
        <v>0.0</v>
      </c>
      <c r="J132" s="1">
        <v>5.0</v>
      </c>
      <c r="K132" s="1">
        <v>1.0</v>
      </c>
      <c r="L132" s="1">
        <v>0.0</v>
      </c>
      <c r="M132" s="1">
        <v>2.0</v>
      </c>
      <c r="N132" s="1">
        <v>2.0</v>
      </c>
      <c r="O132" s="1">
        <v>2.0</v>
      </c>
      <c r="P132" s="1">
        <v>2.0</v>
      </c>
      <c r="R132" s="1" t="s">
        <v>397</v>
      </c>
      <c r="S132" s="1">
        <v>109.0</v>
      </c>
      <c r="T132" s="1" t="s">
        <v>28</v>
      </c>
      <c r="U132" s="7">
        <v>4.0</v>
      </c>
      <c r="V132" s="7">
        <v>4.0</v>
      </c>
      <c r="W132" s="7">
        <v>8.0</v>
      </c>
    </row>
    <row r="133">
      <c r="A133" s="3">
        <v>46215.68313657407</v>
      </c>
      <c r="B133" s="1" t="s">
        <v>398</v>
      </c>
      <c r="C133" s="1" t="s">
        <v>114</v>
      </c>
      <c r="D133" s="1">
        <v>1.0</v>
      </c>
      <c r="E133" s="1" t="s">
        <v>90</v>
      </c>
      <c r="F133" s="4">
        <v>1.0</v>
      </c>
      <c r="G133" s="4">
        <v>3.0</v>
      </c>
      <c r="H133" s="4">
        <v>1.0</v>
      </c>
      <c r="I133" s="4">
        <v>1.0</v>
      </c>
      <c r="J133" s="1">
        <v>6.0</v>
      </c>
      <c r="K133" s="1">
        <v>2.0</v>
      </c>
      <c r="L133" s="1">
        <v>0.0</v>
      </c>
      <c r="M133" s="1">
        <v>2.0</v>
      </c>
      <c r="N133" s="1">
        <v>3.0</v>
      </c>
      <c r="O133" s="1">
        <v>3.0</v>
      </c>
      <c r="P133" s="1">
        <v>2.0</v>
      </c>
      <c r="Q133" s="1" t="s">
        <v>399</v>
      </c>
      <c r="R133" s="1" t="s">
        <v>400</v>
      </c>
      <c r="S133" s="1">
        <v>927.0</v>
      </c>
      <c r="T133" s="1" t="s">
        <v>34</v>
      </c>
      <c r="U133" s="7">
        <v>4.0</v>
      </c>
      <c r="V133" s="7">
        <v>6.0</v>
      </c>
      <c r="W133" s="7">
        <v>6.0</v>
      </c>
    </row>
    <row r="134">
      <c r="A134" s="3">
        <v>46215.684212962966</v>
      </c>
      <c r="B134" s="1" t="s">
        <v>401</v>
      </c>
      <c r="C134" s="1" t="s">
        <v>62</v>
      </c>
      <c r="D134" s="1">
        <v>1.0</v>
      </c>
      <c r="E134" s="1" t="s">
        <v>52</v>
      </c>
      <c r="F134" s="4">
        <v>2.0</v>
      </c>
      <c r="G134" s="4">
        <v>0.0</v>
      </c>
      <c r="H134" s="4">
        <v>4.0</v>
      </c>
      <c r="I134" s="4">
        <v>0.0</v>
      </c>
      <c r="J134" s="1">
        <v>7.0</v>
      </c>
      <c r="K134" s="1">
        <v>2.0</v>
      </c>
      <c r="L134" s="1">
        <v>3.0</v>
      </c>
      <c r="M134" s="1">
        <v>3.0</v>
      </c>
      <c r="N134" s="1">
        <v>1.0</v>
      </c>
      <c r="O134" s="1">
        <v>1.0</v>
      </c>
      <c r="P134" s="1">
        <v>4.0</v>
      </c>
      <c r="R134" s="1" t="s">
        <v>402</v>
      </c>
      <c r="S134" s="1">
        <v>217.0</v>
      </c>
      <c r="T134" s="1" t="s">
        <v>28</v>
      </c>
      <c r="U134" s="7">
        <v>7.0</v>
      </c>
      <c r="V134" s="7">
        <v>2.0</v>
      </c>
      <c r="W134" s="7">
        <v>13.0</v>
      </c>
    </row>
    <row r="135">
      <c r="A135" s="3">
        <v>46215.716157407405</v>
      </c>
      <c r="B135" s="1" t="s">
        <v>403</v>
      </c>
      <c r="C135" s="1" t="s">
        <v>108</v>
      </c>
      <c r="D135" s="1">
        <v>1.0</v>
      </c>
      <c r="E135" s="1" t="s">
        <v>52</v>
      </c>
      <c r="F135" s="4">
        <v>1.0</v>
      </c>
      <c r="G135" s="4">
        <v>3.0</v>
      </c>
      <c r="H135" s="4">
        <v>2.0</v>
      </c>
      <c r="I135" s="4">
        <v>0.0</v>
      </c>
      <c r="J135" s="1">
        <v>6.0</v>
      </c>
      <c r="K135" s="1">
        <v>2.0</v>
      </c>
      <c r="L135" s="1">
        <v>2.0</v>
      </c>
      <c r="M135" s="1">
        <v>1.0</v>
      </c>
      <c r="N135" s="1">
        <v>3.0</v>
      </c>
      <c r="O135" s="1">
        <v>3.0</v>
      </c>
      <c r="P135" s="1">
        <v>1.0</v>
      </c>
      <c r="S135" s="1">
        <v>86.0</v>
      </c>
      <c r="T135" s="1" t="s">
        <v>28</v>
      </c>
      <c r="U135" s="7">
        <v>2.0</v>
      </c>
      <c r="V135" s="7">
        <v>6.0</v>
      </c>
      <c r="W135" s="7">
        <v>4.0</v>
      </c>
    </row>
    <row r="136">
      <c r="A136" s="3">
        <v>46215.723715277774</v>
      </c>
      <c r="B136" s="1" t="s">
        <v>404</v>
      </c>
      <c r="C136" s="1" t="s">
        <v>295</v>
      </c>
      <c r="D136" s="1">
        <v>1.0</v>
      </c>
      <c r="E136" s="1" t="s">
        <v>192</v>
      </c>
      <c r="F136" s="4">
        <v>1.0</v>
      </c>
      <c r="G136" s="4">
        <v>3.0</v>
      </c>
      <c r="H136" s="4">
        <v>2.0</v>
      </c>
      <c r="I136" s="4">
        <v>0.0</v>
      </c>
      <c r="J136" s="1">
        <v>6.0</v>
      </c>
      <c r="K136" s="1">
        <v>1.0</v>
      </c>
      <c r="L136" s="1">
        <v>2.0</v>
      </c>
      <c r="M136" s="1">
        <v>0.0</v>
      </c>
      <c r="N136" s="1">
        <v>3.0</v>
      </c>
      <c r="O136" s="1">
        <v>3.0</v>
      </c>
      <c r="P136" s="1">
        <v>0.0</v>
      </c>
      <c r="S136" s="1">
        <v>75.0</v>
      </c>
      <c r="T136" s="1" t="s">
        <v>34</v>
      </c>
      <c r="U136" s="7">
        <v>0.0</v>
      </c>
      <c r="V136" s="7">
        <v>6.0</v>
      </c>
      <c r="W136" s="7">
        <v>2.0</v>
      </c>
    </row>
    <row r="137">
      <c r="A137" s="3">
        <v>46215.72408564815</v>
      </c>
      <c r="B137" s="1" t="s">
        <v>405</v>
      </c>
      <c r="C137" s="1" t="s">
        <v>48</v>
      </c>
      <c r="D137" s="1">
        <v>1.0</v>
      </c>
      <c r="E137" s="1" t="s">
        <v>49</v>
      </c>
      <c r="F137" s="4">
        <v>2.0</v>
      </c>
      <c r="G137" s="4">
        <v>1.0</v>
      </c>
      <c r="H137" s="4">
        <v>3.0</v>
      </c>
      <c r="I137" s="4">
        <v>0.0</v>
      </c>
      <c r="J137" s="1">
        <v>5.0</v>
      </c>
      <c r="K137" s="1">
        <v>1.0</v>
      </c>
      <c r="L137" s="1">
        <v>1.0</v>
      </c>
      <c r="M137" s="1">
        <v>2.0</v>
      </c>
      <c r="N137" s="1">
        <v>2.0</v>
      </c>
      <c r="O137" s="1">
        <v>2.0</v>
      </c>
      <c r="P137" s="1">
        <v>2.0</v>
      </c>
      <c r="S137" s="1">
        <v>103.0</v>
      </c>
      <c r="T137" s="1" t="s">
        <v>34</v>
      </c>
      <c r="U137" s="7">
        <v>4.0</v>
      </c>
      <c r="V137" s="7">
        <v>4.0</v>
      </c>
      <c r="W137" s="7">
        <v>8.0</v>
      </c>
    </row>
    <row r="138">
      <c r="A138" s="3">
        <v>46215.78789351852</v>
      </c>
      <c r="B138" s="1" t="s">
        <v>406</v>
      </c>
      <c r="C138" s="1" t="s">
        <v>217</v>
      </c>
      <c r="D138" s="1">
        <v>1.0</v>
      </c>
      <c r="E138" s="1" t="s">
        <v>184</v>
      </c>
      <c r="F138" s="4">
        <v>2.0</v>
      </c>
      <c r="G138" s="4">
        <v>3.0</v>
      </c>
      <c r="H138" s="4">
        <v>1.0</v>
      </c>
      <c r="I138" s="4">
        <v>0.0</v>
      </c>
      <c r="J138" s="1">
        <v>6.0</v>
      </c>
      <c r="K138" s="1">
        <v>2.0</v>
      </c>
      <c r="L138" s="1">
        <v>-1.0</v>
      </c>
      <c r="M138" s="1">
        <v>2.0</v>
      </c>
      <c r="N138" s="1">
        <v>3.0</v>
      </c>
      <c r="O138" s="1">
        <v>3.0</v>
      </c>
      <c r="P138" s="1">
        <v>3.0</v>
      </c>
      <c r="Q138" s="1" t="s">
        <v>407</v>
      </c>
      <c r="R138" s="1" t="s">
        <v>408</v>
      </c>
      <c r="S138" s="1">
        <v>413.0</v>
      </c>
      <c r="T138" s="1" t="s">
        <v>28</v>
      </c>
      <c r="U138" s="7">
        <v>5.0</v>
      </c>
      <c r="V138" s="7">
        <v>6.0</v>
      </c>
      <c r="W138" s="7">
        <v>7.0</v>
      </c>
    </row>
    <row r="139">
      <c r="A139" s="3">
        <v>46215.795625</v>
      </c>
      <c r="B139" s="1" t="s">
        <v>409</v>
      </c>
      <c r="C139" s="1" t="s">
        <v>79</v>
      </c>
      <c r="D139" s="1">
        <v>1.0</v>
      </c>
      <c r="E139" s="1" t="s">
        <v>37</v>
      </c>
      <c r="F139" s="4">
        <v>1.0</v>
      </c>
      <c r="G139" s="4">
        <v>3.0</v>
      </c>
      <c r="H139" s="4">
        <v>1.0</v>
      </c>
      <c r="I139" s="4">
        <v>1.0</v>
      </c>
      <c r="J139" s="1">
        <v>6.0</v>
      </c>
      <c r="K139" s="1">
        <v>1.0</v>
      </c>
      <c r="L139" s="1">
        <v>-2.0</v>
      </c>
      <c r="M139" s="1">
        <v>4.0</v>
      </c>
      <c r="N139" s="1">
        <v>4.0</v>
      </c>
      <c r="O139" s="1">
        <v>4.0</v>
      </c>
      <c r="P139" s="1">
        <v>4.0</v>
      </c>
      <c r="Q139" s="1" t="s">
        <v>410</v>
      </c>
      <c r="R139" s="1" t="s">
        <v>411</v>
      </c>
      <c r="S139" s="1">
        <v>295.0</v>
      </c>
      <c r="T139" s="1" t="s">
        <v>34</v>
      </c>
      <c r="U139" s="7">
        <v>8.0</v>
      </c>
      <c r="V139" s="7">
        <v>8.0</v>
      </c>
      <c r="W139" s="7">
        <v>8.0</v>
      </c>
    </row>
    <row r="140">
      <c r="A140" s="3">
        <v>46215.83222222222</v>
      </c>
      <c r="B140" s="1" t="s">
        <v>412</v>
      </c>
      <c r="C140" s="1" t="s">
        <v>413</v>
      </c>
      <c r="D140" s="1">
        <v>1.0</v>
      </c>
      <c r="E140" s="1" t="s">
        <v>184</v>
      </c>
      <c r="F140" s="4">
        <v>1.0</v>
      </c>
      <c r="G140" s="4">
        <v>2.0</v>
      </c>
      <c r="H140" s="4">
        <v>2.0</v>
      </c>
      <c r="I140" s="4">
        <v>1.0</v>
      </c>
      <c r="J140" s="1">
        <v>4.0</v>
      </c>
      <c r="K140" s="1">
        <v>1.0</v>
      </c>
      <c r="L140" s="1">
        <v>1.0</v>
      </c>
      <c r="M140" s="1">
        <v>2.0</v>
      </c>
      <c r="N140" s="1">
        <v>3.0</v>
      </c>
      <c r="O140" s="1">
        <v>2.0</v>
      </c>
      <c r="P140" s="1">
        <v>2.0</v>
      </c>
      <c r="Q140" s="1"/>
      <c r="R140" s="1"/>
      <c r="S140" s="1">
        <v>96.0</v>
      </c>
      <c r="T140" s="1" t="s">
        <v>28</v>
      </c>
      <c r="U140" s="7">
        <v>4.0</v>
      </c>
      <c r="V140" s="7">
        <v>5.0</v>
      </c>
      <c r="W140" s="7">
        <v>7.0</v>
      </c>
    </row>
    <row r="141">
      <c r="A141" s="3">
        <v>46215.83699074074</v>
      </c>
      <c r="B141" s="1" t="s">
        <v>414</v>
      </c>
      <c r="C141" s="1" t="s">
        <v>152</v>
      </c>
      <c r="D141" s="1">
        <v>1.0</v>
      </c>
      <c r="E141" s="1" t="s">
        <v>31</v>
      </c>
      <c r="F141" s="4">
        <v>3.0</v>
      </c>
      <c r="G141" s="4">
        <v>1.0</v>
      </c>
      <c r="H141" s="4">
        <v>2.0</v>
      </c>
      <c r="I141" s="4">
        <v>0.0</v>
      </c>
      <c r="J141" s="1">
        <v>3.0</v>
      </c>
      <c r="K141" s="1">
        <v>0.0</v>
      </c>
      <c r="L141" s="1">
        <v>1.0</v>
      </c>
      <c r="M141" s="1">
        <v>2.0</v>
      </c>
      <c r="N141" s="1">
        <v>3.0</v>
      </c>
      <c r="O141" s="1">
        <v>2.0</v>
      </c>
      <c r="P141" s="1">
        <v>2.0</v>
      </c>
      <c r="Q141" s="1" t="s">
        <v>415</v>
      </c>
      <c r="R141" s="1"/>
      <c r="S141" s="1">
        <v>57.0</v>
      </c>
      <c r="T141" s="1" t="s">
        <v>34</v>
      </c>
      <c r="U141" s="7">
        <v>4.0</v>
      </c>
      <c r="V141" s="7">
        <v>5.0</v>
      </c>
      <c r="W141" s="7">
        <v>7.0</v>
      </c>
    </row>
    <row r="142">
      <c r="A142" s="3">
        <v>46215.837118055555</v>
      </c>
      <c r="B142" s="1" t="s">
        <v>416</v>
      </c>
      <c r="C142" s="1" t="s">
        <v>89</v>
      </c>
      <c r="D142" s="1">
        <v>1.0</v>
      </c>
      <c r="E142" s="1" t="s">
        <v>85</v>
      </c>
      <c r="F142" s="4">
        <v>1.0</v>
      </c>
      <c r="G142" s="4">
        <v>2.0</v>
      </c>
      <c r="H142" s="4">
        <v>3.0</v>
      </c>
      <c r="I142" s="4">
        <v>0.0</v>
      </c>
      <c r="J142" s="1">
        <v>4.0</v>
      </c>
      <c r="K142" s="1">
        <v>2.0</v>
      </c>
      <c r="L142" s="1">
        <v>-2.0</v>
      </c>
      <c r="M142" s="1">
        <v>2.0</v>
      </c>
      <c r="N142" s="1">
        <v>2.0</v>
      </c>
      <c r="O142" s="1">
        <v>2.0</v>
      </c>
      <c r="P142" s="1">
        <v>2.0</v>
      </c>
      <c r="Q142" s="1"/>
      <c r="R142" s="1" t="s">
        <v>417</v>
      </c>
      <c r="S142" s="1">
        <v>219.0</v>
      </c>
      <c r="T142" s="1" t="s">
        <v>28</v>
      </c>
      <c r="U142" s="7">
        <v>4.0</v>
      </c>
      <c r="V142" s="7">
        <v>4.0</v>
      </c>
      <c r="W142" s="7">
        <v>8.0</v>
      </c>
    </row>
    <row r="143">
      <c r="A143" s="3">
        <v>46215.86649305555</v>
      </c>
      <c r="B143" s="1" t="s">
        <v>418</v>
      </c>
      <c r="C143" s="1" t="s">
        <v>419</v>
      </c>
      <c r="D143" s="1">
        <v>1.0</v>
      </c>
      <c r="E143" s="1" t="s">
        <v>184</v>
      </c>
      <c r="F143" s="4">
        <v>2.0</v>
      </c>
      <c r="G143" s="4">
        <v>0.0</v>
      </c>
      <c r="H143" s="4">
        <v>4.0</v>
      </c>
      <c r="I143" s="4">
        <v>0.0</v>
      </c>
      <c r="J143" s="1">
        <v>5.0</v>
      </c>
      <c r="K143" s="1">
        <v>0.0</v>
      </c>
      <c r="L143" s="1">
        <v>0.0</v>
      </c>
      <c r="M143" s="1">
        <v>3.0</v>
      </c>
      <c r="N143" s="1">
        <v>2.0</v>
      </c>
      <c r="O143" s="1">
        <v>2.0</v>
      </c>
      <c r="P143" s="1">
        <v>3.0</v>
      </c>
      <c r="Q143" s="1" t="s">
        <v>420</v>
      </c>
      <c r="R143" s="1" t="s">
        <v>421</v>
      </c>
      <c r="S143" s="1">
        <v>258.0</v>
      </c>
      <c r="T143" s="1" t="s">
        <v>28</v>
      </c>
      <c r="U143" s="7">
        <v>6.0</v>
      </c>
      <c r="V143" s="7">
        <v>4.0</v>
      </c>
      <c r="W143" s="7">
        <v>10.0</v>
      </c>
    </row>
    <row r="144">
      <c r="A144" s="3">
        <v>46215.89685185185</v>
      </c>
      <c r="B144" s="1" t="s">
        <v>422</v>
      </c>
      <c r="C144" s="1" t="s">
        <v>423</v>
      </c>
      <c r="D144" s="1">
        <v>1.0</v>
      </c>
      <c r="E144" s="1" t="s">
        <v>49</v>
      </c>
      <c r="F144" s="4">
        <v>1.0</v>
      </c>
      <c r="G144" s="4">
        <v>1.0</v>
      </c>
      <c r="H144" s="4">
        <v>3.0</v>
      </c>
      <c r="I144" s="4">
        <v>1.0</v>
      </c>
      <c r="J144" s="1">
        <v>3.0</v>
      </c>
      <c r="K144" s="1">
        <v>1.0</v>
      </c>
      <c r="L144" s="1">
        <v>-2.0</v>
      </c>
      <c r="M144" s="1">
        <v>3.0</v>
      </c>
      <c r="N144" s="1">
        <v>2.0</v>
      </c>
      <c r="O144" s="1">
        <v>3.0</v>
      </c>
      <c r="P144" s="1">
        <v>2.0</v>
      </c>
      <c r="Q144" s="1" t="s">
        <v>424</v>
      </c>
      <c r="R144" s="1" t="s">
        <v>425</v>
      </c>
      <c r="S144" s="1">
        <v>245.0</v>
      </c>
      <c r="T144" s="1" t="s">
        <v>28</v>
      </c>
      <c r="U144" s="7">
        <v>5.0</v>
      </c>
      <c r="V144" s="7">
        <v>5.0</v>
      </c>
      <c r="W144" s="7">
        <v>8.0</v>
      </c>
    </row>
    <row r="145">
      <c r="A145" s="3">
        <v>46215.92229166667</v>
      </c>
      <c r="B145" s="1" t="s">
        <v>426</v>
      </c>
      <c r="C145" s="1" t="s">
        <v>44</v>
      </c>
      <c r="D145" s="1">
        <v>1.0</v>
      </c>
      <c r="E145" s="1" t="s">
        <v>45</v>
      </c>
      <c r="F145" s="4">
        <v>4.0</v>
      </c>
      <c r="G145" s="4">
        <v>1.0</v>
      </c>
      <c r="H145" s="4">
        <v>1.0</v>
      </c>
      <c r="I145" s="4">
        <v>0.0</v>
      </c>
      <c r="J145" s="1">
        <v>4.0</v>
      </c>
      <c r="K145" s="1">
        <v>1.0</v>
      </c>
      <c r="L145" s="1">
        <v>2.0</v>
      </c>
      <c r="M145" s="1">
        <v>2.0</v>
      </c>
      <c r="N145" s="1">
        <v>2.0</v>
      </c>
      <c r="O145" s="1">
        <v>3.0</v>
      </c>
      <c r="P145" s="1">
        <v>3.0</v>
      </c>
      <c r="Q145" s="1"/>
      <c r="R145" s="1"/>
      <c r="S145" s="1">
        <v>69.0</v>
      </c>
      <c r="T145" s="1" t="s">
        <v>28</v>
      </c>
      <c r="U145" s="7">
        <v>5.0</v>
      </c>
      <c r="V145" s="7">
        <v>5.0</v>
      </c>
      <c r="W145" s="7">
        <v>8.0</v>
      </c>
    </row>
    <row r="146">
      <c r="A146" s="3">
        <v>46215.95994212963</v>
      </c>
      <c r="B146" s="1" t="s">
        <v>427</v>
      </c>
      <c r="C146" s="1" t="s">
        <v>428</v>
      </c>
      <c r="D146" s="1">
        <v>1.0</v>
      </c>
      <c r="E146" s="1" t="s">
        <v>184</v>
      </c>
      <c r="F146" s="4">
        <v>0.0</v>
      </c>
      <c r="G146" s="4">
        <v>0.0</v>
      </c>
      <c r="H146" s="4">
        <v>6.0</v>
      </c>
      <c r="I146" s="4">
        <v>0.0</v>
      </c>
      <c r="J146" s="1">
        <v>3.0</v>
      </c>
      <c r="K146" s="1">
        <v>2.0</v>
      </c>
      <c r="L146" s="1">
        <v>0.0</v>
      </c>
      <c r="M146" s="1">
        <v>3.0</v>
      </c>
      <c r="N146" s="1">
        <v>1.0</v>
      </c>
      <c r="O146" s="1">
        <v>1.0</v>
      </c>
      <c r="P146" s="1">
        <v>3.0</v>
      </c>
      <c r="Q146" s="1"/>
      <c r="R146" s="1"/>
      <c r="S146" s="1">
        <v>57.0</v>
      </c>
      <c r="T146" s="1" t="s">
        <v>28</v>
      </c>
      <c r="U146" s="7">
        <v>6.0</v>
      </c>
      <c r="V146" s="7">
        <v>2.0</v>
      </c>
      <c r="W146" s="7">
        <v>12.0</v>
      </c>
    </row>
    <row r="147">
      <c r="A147" s="3">
        <v>46215.96113425926</v>
      </c>
      <c r="B147" s="1" t="s">
        <v>429</v>
      </c>
      <c r="C147" s="1" t="s">
        <v>263</v>
      </c>
      <c r="D147" s="1">
        <v>1.0</v>
      </c>
      <c r="E147" s="1" t="s">
        <v>184</v>
      </c>
      <c r="F147" s="4">
        <v>1.0</v>
      </c>
      <c r="G147" s="4">
        <v>3.0</v>
      </c>
      <c r="H147" s="4">
        <v>2.0</v>
      </c>
      <c r="I147" s="4">
        <v>0.0</v>
      </c>
      <c r="J147" s="1">
        <v>7.0</v>
      </c>
      <c r="K147" s="1">
        <v>1.0</v>
      </c>
      <c r="L147" s="1">
        <v>-2.0</v>
      </c>
      <c r="M147" s="1">
        <v>1.0</v>
      </c>
      <c r="N147" s="1">
        <v>4.0</v>
      </c>
      <c r="O147" s="1">
        <v>4.0</v>
      </c>
      <c r="P147" s="1">
        <v>0.0</v>
      </c>
      <c r="Q147" s="1" t="s">
        <v>430</v>
      </c>
      <c r="R147" s="1"/>
      <c r="S147" s="1">
        <v>285.0</v>
      </c>
      <c r="T147" s="1" t="s">
        <v>28</v>
      </c>
      <c r="U147" s="7">
        <v>1.0</v>
      </c>
      <c r="V147" s="7">
        <v>8.0</v>
      </c>
      <c r="W147" s="7">
        <v>1.0</v>
      </c>
    </row>
    <row r="148">
      <c r="A148" s="3">
        <v>46215.96618055556</v>
      </c>
      <c r="B148" s="1" t="s">
        <v>431</v>
      </c>
      <c r="C148" s="1" t="s">
        <v>166</v>
      </c>
      <c r="D148" s="1">
        <v>1.0</v>
      </c>
      <c r="E148" s="1" t="s">
        <v>37</v>
      </c>
      <c r="F148" s="4">
        <v>1.0</v>
      </c>
      <c r="G148" s="4">
        <v>3.0</v>
      </c>
      <c r="H148" s="4">
        <v>2.0</v>
      </c>
      <c r="I148" s="4">
        <v>0.0</v>
      </c>
      <c r="J148" s="1">
        <v>5.0</v>
      </c>
      <c r="K148" s="1">
        <v>-1.0</v>
      </c>
      <c r="L148" s="1">
        <v>1.0</v>
      </c>
      <c r="M148" s="1">
        <v>3.0</v>
      </c>
      <c r="N148" s="1">
        <v>2.0</v>
      </c>
      <c r="O148" s="1">
        <v>3.0</v>
      </c>
      <c r="P148" s="1">
        <v>4.0</v>
      </c>
      <c r="Q148" s="1" t="s">
        <v>432</v>
      </c>
      <c r="R148" s="1"/>
      <c r="S148" s="1">
        <v>161.0</v>
      </c>
      <c r="T148" s="1" t="s">
        <v>34</v>
      </c>
      <c r="U148" s="7">
        <v>7.0</v>
      </c>
      <c r="V148" s="7">
        <v>5.0</v>
      </c>
      <c r="W148" s="7">
        <v>10.0</v>
      </c>
    </row>
    <row r="149">
      <c r="A149" s="3">
        <v>46215.98186342593</v>
      </c>
      <c r="B149" s="1" t="s">
        <v>433</v>
      </c>
      <c r="C149" s="1" t="s">
        <v>303</v>
      </c>
      <c r="D149" s="1">
        <v>1.0</v>
      </c>
      <c r="E149" s="1" t="s">
        <v>184</v>
      </c>
      <c r="F149" s="4">
        <v>2.0</v>
      </c>
      <c r="G149" s="4">
        <v>2.0</v>
      </c>
      <c r="H149" s="4">
        <v>1.0</v>
      </c>
      <c r="I149" s="4">
        <v>1.0</v>
      </c>
      <c r="J149" s="1">
        <v>6.0</v>
      </c>
      <c r="K149" s="1">
        <v>-2.0</v>
      </c>
      <c r="L149" s="1">
        <v>1.0</v>
      </c>
      <c r="M149" s="1">
        <v>3.0</v>
      </c>
      <c r="N149" s="1">
        <v>2.0</v>
      </c>
      <c r="O149" s="1">
        <v>2.0</v>
      </c>
      <c r="P149" s="1">
        <v>2.0</v>
      </c>
      <c r="Q149" s="1"/>
      <c r="R149" s="1"/>
      <c r="S149" s="1">
        <v>345.0</v>
      </c>
      <c r="T149" s="1" t="s">
        <v>34</v>
      </c>
      <c r="U149" s="7">
        <v>5.0</v>
      </c>
      <c r="V149" s="7">
        <v>4.0</v>
      </c>
      <c r="W149" s="7">
        <v>9.0</v>
      </c>
    </row>
    <row r="150">
      <c r="A150" s="3">
        <v>46215.98465277778</v>
      </c>
      <c r="B150" s="1" t="s">
        <v>434</v>
      </c>
      <c r="C150" s="1" t="s">
        <v>120</v>
      </c>
      <c r="D150" s="1">
        <v>1.0</v>
      </c>
      <c r="E150" s="1" t="s">
        <v>49</v>
      </c>
      <c r="F150" s="4">
        <v>2.0</v>
      </c>
      <c r="G150" s="4">
        <v>1.0</v>
      </c>
      <c r="H150" s="4">
        <v>3.0</v>
      </c>
      <c r="I150" s="4">
        <v>0.0</v>
      </c>
      <c r="J150" s="1">
        <v>5.0</v>
      </c>
      <c r="K150" s="1">
        <v>0.0</v>
      </c>
      <c r="L150" s="1">
        <v>1.0</v>
      </c>
      <c r="M150" s="1">
        <v>2.0</v>
      </c>
      <c r="N150" s="1">
        <v>2.0</v>
      </c>
      <c r="O150" s="1">
        <v>2.0</v>
      </c>
      <c r="P150" s="1">
        <v>3.0</v>
      </c>
      <c r="Q150" s="1" t="s">
        <v>435</v>
      </c>
      <c r="R150" s="1" t="s">
        <v>436</v>
      </c>
      <c r="S150" s="1">
        <v>153.0</v>
      </c>
      <c r="T150" s="1" t="s">
        <v>28</v>
      </c>
      <c r="U150" s="7">
        <v>5.0</v>
      </c>
      <c r="V150" s="7">
        <v>4.0</v>
      </c>
      <c r="W150" s="7">
        <v>9.0</v>
      </c>
    </row>
    <row r="151">
      <c r="A151" s="3">
        <v>46216.33315972222</v>
      </c>
      <c r="B151" s="1" t="s">
        <v>437</v>
      </c>
      <c r="C151" s="1" t="s">
        <v>76</v>
      </c>
      <c r="D151" s="1">
        <v>1.0</v>
      </c>
      <c r="E151" s="1" t="s">
        <v>52</v>
      </c>
      <c r="F151" s="4">
        <v>1.0</v>
      </c>
      <c r="G151" s="4">
        <v>2.0</v>
      </c>
      <c r="H151" s="4">
        <v>1.0</v>
      </c>
      <c r="I151" s="4">
        <v>2.0</v>
      </c>
      <c r="J151" s="1">
        <v>5.0</v>
      </c>
      <c r="K151" s="1">
        <v>1.0</v>
      </c>
      <c r="L151" s="1">
        <v>1.0</v>
      </c>
      <c r="M151" s="1">
        <v>1.0</v>
      </c>
      <c r="N151" s="1">
        <v>3.0</v>
      </c>
      <c r="O151" s="1">
        <v>3.0</v>
      </c>
      <c r="P151" s="1">
        <v>1.0</v>
      </c>
      <c r="Q151" s="1" t="s">
        <v>438</v>
      </c>
      <c r="R151" s="1"/>
      <c r="S151" s="1">
        <v>221.0</v>
      </c>
      <c r="T151" s="1" t="s">
        <v>34</v>
      </c>
      <c r="U151" s="7">
        <v>2.0</v>
      </c>
      <c r="V151" s="7">
        <v>6.0</v>
      </c>
      <c r="W151" s="7">
        <v>4.0</v>
      </c>
    </row>
    <row r="152">
      <c r="A152" s="3">
        <v>46216.343981481485</v>
      </c>
      <c r="B152" s="1" t="s">
        <v>439</v>
      </c>
      <c r="C152" s="1" t="s">
        <v>440</v>
      </c>
      <c r="D152" s="1">
        <v>1.0</v>
      </c>
      <c r="E152" s="1" t="s">
        <v>184</v>
      </c>
      <c r="F152" s="4">
        <v>0.0</v>
      </c>
      <c r="G152" s="4">
        <v>2.0</v>
      </c>
      <c r="H152" s="4">
        <v>4.0</v>
      </c>
      <c r="I152" s="4">
        <v>0.0</v>
      </c>
      <c r="J152" s="1">
        <v>4.0</v>
      </c>
      <c r="K152" s="1">
        <v>0.0</v>
      </c>
      <c r="L152" s="1">
        <v>-3.0</v>
      </c>
      <c r="M152" s="1">
        <v>1.0</v>
      </c>
      <c r="N152" s="1">
        <v>3.0</v>
      </c>
      <c r="O152" s="1">
        <v>2.0</v>
      </c>
      <c r="P152" s="1">
        <v>0.0</v>
      </c>
      <c r="Q152" s="1"/>
      <c r="R152" s="1"/>
      <c r="S152" s="1">
        <v>179.0</v>
      </c>
      <c r="T152" s="1" t="s">
        <v>28</v>
      </c>
      <c r="U152" s="7">
        <v>1.0</v>
      </c>
      <c r="V152" s="7">
        <v>5.0</v>
      </c>
      <c r="W152" s="7">
        <v>4.0</v>
      </c>
    </row>
    <row r="153">
      <c r="A153" s="3">
        <v>46216.36934027778</v>
      </c>
      <c r="B153" s="1" t="s">
        <v>441</v>
      </c>
      <c r="C153" s="1" t="s">
        <v>442</v>
      </c>
      <c r="D153" s="1">
        <v>1.0</v>
      </c>
      <c r="E153" s="1" t="s">
        <v>184</v>
      </c>
      <c r="F153" s="4">
        <v>4.0</v>
      </c>
      <c r="G153" s="4">
        <v>0.0</v>
      </c>
      <c r="H153" s="4">
        <v>2.0</v>
      </c>
      <c r="I153" s="4">
        <v>0.0</v>
      </c>
      <c r="J153" s="1">
        <v>3.0</v>
      </c>
      <c r="K153" s="1">
        <v>-3.0</v>
      </c>
      <c r="L153" s="1">
        <v>-3.0</v>
      </c>
      <c r="M153" s="1">
        <v>2.0</v>
      </c>
      <c r="N153" s="1">
        <v>3.0</v>
      </c>
      <c r="O153" s="1">
        <v>1.0</v>
      </c>
      <c r="P153" s="1">
        <v>2.0</v>
      </c>
      <c r="Q153" s="1" t="s">
        <v>443</v>
      </c>
      <c r="R153" s="1" t="s">
        <v>444</v>
      </c>
      <c r="S153" s="1">
        <v>117.0</v>
      </c>
      <c r="T153" s="1" t="s">
        <v>34</v>
      </c>
      <c r="U153" s="7">
        <v>4.0</v>
      </c>
      <c r="V153" s="7">
        <v>4.0</v>
      </c>
      <c r="W153" s="7">
        <v>8.0</v>
      </c>
    </row>
    <row r="154">
      <c r="A154" s="3">
        <v>46216.37525462963</v>
      </c>
      <c r="B154" s="1" t="s">
        <v>445</v>
      </c>
      <c r="C154" s="1" t="s">
        <v>446</v>
      </c>
      <c r="D154" s="1">
        <v>1.0</v>
      </c>
      <c r="E154" s="1" t="s">
        <v>26</v>
      </c>
      <c r="F154" s="4">
        <v>1.0</v>
      </c>
      <c r="G154" s="4">
        <v>2.0</v>
      </c>
      <c r="H154" s="4">
        <v>3.0</v>
      </c>
      <c r="I154" s="4">
        <v>0.0</v>
      </c>
      <c r="J154" s="1">
        <v>5.0</v>
      </c>
      <c r="K154" s="1">
        <v>1.0</v>
      </c>
      <c r="L154" s="1">
        <v>1.0</v>
      </c>
      <c r="M154" s="1">
        <v>3.0</v>
      </c>
      <c r="N154" s="1">
        <v>2.0</v>
      </c>
      <c r="O154" s="1">
        <v>2.0</v>
      </c>
      <c r="P154" s="1">
        <v>2.0</v>
      </c>
      <c r="Q154" s="1" t="s">
        <v>447</v>
      </c>
      <c r="R154" s="1" t="s">
        <v>448</v>
      </c>
      <c r="S154" s="1">
        <v>423.0</v>
      </c>
      <c r="T154" s="1" t="s">
        <v>28</v>
      </c>
      <c r="U154" s="7">
        <v>5.0</v>
      </c>
      <c r="V154" s="7">
        <v>4.0</v>
      </c>
      <c r="W154" s="7">
        <v>9.0</v>
      </c>
    </row>
    <row r="155">
      <c r="A155" s="3">
        <v>46216.38701388889</v>
      </c>
      <c r="B155" s="1" t="s">
        <v>449</v>
      </c>
      <c r="C155" s="1" t="s">
        <v>144</v>
      </c>
      <c r="D155" s="1">
        <v>1.0</v>
      </c>
      <c r="E155" s="1" t="s">
        <v>52</v>
      </c>
      <c r="F155" s="4">
        <v>2.0</v>
      </c>
      <c r="G155" s="4">
        <v>2.0</v>
      </c>
      <c r="H155" s="4">
        <v>2.0</v>
      </c>
      <c r="I155" s="4">
        <v>0.0</v>
      </c>
      <c r="J155" s="1">
        <v>5.0</v>
      </c>
      <c r="K155" s="1">
        <v>1.0</v>
      </c>
      <c r="L155" s="1">
        <v>1.0</v>
      </c>
      <c r="M155" s="1">
        <v>2.0</v>
      </c>
      <c r="N155" s="1">
        <v>2.0</v>
      </c>
      <c r="O155" s="1">
        <v>2.0</v>
      </c>
      <c r="P155" s="1">
        <v>2.0</v>
      </c>
      <c r="Q155" s="1" t="s">
        <v>450</v>
      </c>
      <c r="R155" s="1" t="s">
        <v>451</v>
      </c>
      <c r="S155" s="1">
        <v>582.0</v>
      </c>
      <c r="T155" s="1" t="s">
        <v>28</v>
      </c>
      <c r="U155" s="7">
        <v>4.0</v>
      </c>
      <c r="V155" s="7">
        <v>4.0</v>
      </c>
      <c r="W155" s="7">
        <v>8.0</v>
      </c>
    </row>
    <row r="156">
      <c r="A156" s="3">
        <v>46216.38899305555</v>
      </c>
      <c r="B156" s="1" t="s">
        <v>452</v>
      </c>
      <c r="C156" s="1" t="s">
        <v>453</v>
      </c>
      <c r="D156" s="1">
        <v>1.0</v>
      </c>
      <c r="E156" s="1" t="s">
        <v>184</v>
      </c>
      <c r="F156" s="4">
        <v>2.0</v>
      </c>
      <c r="G156" s="4">
        <v>1.0</v>
      </c>
      <c r="H156" s="4">
        <v>1.0</v>
      </c>
      <c r="I156" s="4">
        <v>2.0</v>
      </c>
      <c r="J156" s="1">
        <v>4.0</v>
      </c>
      <c r="K156" s="1">
        <v>0.0</v>
      </c>
      <c r="L156" s="1">
        <v>2.0</v>
      </c>
      <c r="M156" s="1">
        <v>3.0</v>
      </c>
      <c r="N156" s="1">
        <v>2.0</v>
      </c>
      <c r="O156" s="1">
        <v>2.0</v>
      </c>
      <c r="P156" s="1">
        <v>3.0</v>
      </c>
      <c r="Q156" s="1" t="s">
        <v>454</v>
      </c>
      <c r="R156" s="1"/>
      <c r="S156" s="1">
        <v>128.0</v>
      </c>
      <c r="T156" s="1" t="s">
        <v>34</v>
      </c>
      <c r="U156" s="7">
        <v>6.0</v>
      </c>
      <c r="V156" s="7">
        <v>4.0</v>
      </c>
      <c r="W156" s="7">
        <v>10.0</v>
      </c>
    </row>
    <row r="157">
      <c r="A157" s="3">
        <v>46216.409166666665</v>
      </c>
      <c r="B157" s="1" t="s">
        <v>455</v>
      </c>
      <c r="C157" s="1" t="s">
        <v>30</v>
      </c>
      <c r="D157" s="1">
        <v>1.0</v>
      </c>
      <c r="E157" s="1" t="s">
        <v>31</v>
      </c>
      <c r="F157" s="4">
        <v>2.0</v>
      </c>
      <c r="G157" s="4">
        <v>3.0</v>
      </c>
      <c r="H157" s="4">
        <v>1.0</v>
      </c>
      <c r="I157" s="4">
        <v>0.0</v>
      </c>
      <c r="J157" s="1">
        <v>6.0</v>
      </c>
      <c r="K157" s="1">
        <v>1.0</v>
      </c>
      <c r="L157" s="1">
        <v>0.0</v>
      </c>
      <c r="M157" s="1">
        <v>3.0</v>
      </c>
      <c r="N157" s="1">
        <v>3.0</v>
      </c>
      <c r="O157" s="1">
        <v>2.0</v>
      </c>
      <c r="P157" s="1">
        <v>2.0</v>
      </c>
      <c r="Q157" s="1" t="s">
        <v>456</v>
      </c>
      <c r="R157" s="1"/>
      <c r="S157" s="1">
        <v>144.0</v>
      </c>
      <c r="T157" s="1" t="s">
        <v>34</v>
      </c>
      <c r="U157" s="7">
        <v>5.0</v>
      </c>
      <c r="V157" s="7">
        <v>5.0</v>
      </c>
      <c r="W157" s="7">
        <v>8.0</v>
      </c>
    </row>
    <row r="158">
      <c r="A158" s="3">
        <v>46216.410578703704</v>
      </c>
      <c r="B158" s="1" t="s">
        <v>457</v>
      </c>
      <c r="C158" s="1" t="s">
        <v>274</v>
      </c>
      <c r="D158" s="1">
        <v>1.0</v>
      </c>
      <c r="E158" s="1" t="s">
        <v>102</v>
      </c>
      <c r="F158" s="4">
        <v>2.0</v>
      </c>
      <c r="G158" s="4">
        <v>3.0</v>
      </c>
      <c r="H158" s="4">
        <v>1.0</v>
      </c>
      <c r="I158" s="4">
        <v>0.0</v>
      </c>
      <c r="J158" s="1">
        <v>5.0</v>
      </c>
      <c r="K158" s="1">
        <v>3.0</v>
      </c>
      <c r="L158" s="1">
        <v>1.0</v>
      </c>
      <c r="M158" s="1">
        <v>1.0</v>
      </c>
      <c r="N158" s="1">
        <v>3.0</v>
      </c>
      <c r="O158" s="1">
        <v>1.0</v>
      </c>
      <c r="P158" s="1">
        <v>1.0</v>
      </c>
      <c r="Q158" s="1" t="s">
        <v>458</v>
      </c>
      <c r="R158" s="1" t="s">
        <v>459</v>
      </c>
      <c r="S158" s="1">
        <v>670.0</v>
      </c>
      <c r="T158" s="1" t="s">
        <v>34</v>
      </c>
      <c r="U158" s="7">
        <v>2.0</v>
      </c>
      <c r="V158" s="7">
        <v>4.0</v>
      </c>
      <c r="W158" s="7">
        <v>6.0</v>
      </c>
    </row>
    <row r="159">
      <c r="A159" s="3">
        <v>46216.411678240744</v>
      </c>
      <c r="B159" s="1" t="s">
        <v>460</v>
      </c>
      <c r="C159" s="1" t="s">
        <v>131</v>
      </c>
      <c r="D159" s="1">
        <v>1.0</v>
      </c>
      <c r="E159" s="1" t="s">
        <v>90</v>
      </c>
      <c r="F159" s="4">
        <v>2.0</v>
      </c>
      <c r="G159" s="4">
        <v>3.0</v>
      </c>
      <c r="H159" s="4">
        <v>1.0</v>
      </c>
      <c r="I159" s="4">
        <v>0.0</v>
      </c>
      <c r="J159" s="1">
        <v>6.0</v>
      </c>
      <c r="K159" s="1">
        <v>2.0</v>
      </c>
      <c r="L159" s="1">
        <v>2.0</v>
      </c>
      <c r="M159" s="1">
        <v>1.0</v>
      </c>
      <c r="N159" s="1">
        <v>3.0</v>
      </c>
      <c r="O159" s="1">
        <v>4.0</v>
      </c>
      <c r="P159" s="1">
        <v>1.0</v>
      </c>
      <c r="Q159" s="1" t="s">
        <v>461</v>
      </c>
      <c r="R159" s="1"/>
      <c r="S159" s="1">
        <v>116.0</v>
      </c>
      <c r="T159" s="1" t="s">
        <v>34</v>
      </c>
      <c r="U159" s="7">
        <v>2.0</v>
      </c>
      <c r="V159" s="7">
        <v>7.0</v>
      </c>
      <c r="W159" s="7">
        <v>3.0</v>
      </c>
    </row>
    <row r="160">
      <c r="A160" s="3">
        <v>46216.44766203704</v>
      </c>
      <c r="B160" s="1" t="s">
        <v>462</v>
      </c>
      <c r="C160" s="1" t="s">
        <v>306</v>
      </c>
      <c r="D160" s="1">
        <v>1.0</v>
      </c>
      <c r="E160" s="1" t="s">
        <v>184</v>
      </c>
      <c r="F160" s="4">
        <v>2.0</v>
      </c>
      <c r="G160" s="4">
        <v>2.0</v>
      </c>
      <c r="H160" s="4">
        <v>2.0</v>
      </c>
      <c r="I160" s="4">
        <v>0.0</v>
      </c>
      <c r="J160" s="1">
        <v>5.0</v>
      </c>
      <c r="K160" s="1">
        <v>0.0</v>
      </c>
      <c r="L160" s="1">
        <v>0.0</v>
      </c>
      <c r="M160" s="1">
        <v>2.0</v>
      </c>
      <c r="N160" s="1">
        <v>3.0</v>
      </c>
      <c r="O160" s="1">
        <v>2.0</v>
      </c>
      <c r="P160" s="1">
        <v>1.0</v>
      </c>
      <c r="Q160" s="1"/>
      <c r="R160" s="1"/>
      <c r="S160" s="1">
        <v>109.0</v>
      </c>
      <c r="T160" s="1" t="s">
        <v>34</v>
      </c>
      <c r="U160" s="7">
        <v>3.0</v>
      </c>
      <c r="V160" s="7">
        <v>5.0</v>
      </c>
      <c r="W160" s="7">
        <v>6.0</v>
      </c>
    </row>
    <row r="161">
      <c r="A161" s="3">
        <v>46216.455243055556</v>
      </c>
      <c r="B161" s="1" t="s">
        <v>463</v>
      </c>
      <c r="C161" s="1" t="s">
        <v>111</v>
      </c>
      <c r="D161" s="1">
        <v>0.0</v>
      </c>
      <c r="E161" s="1" t="s">
        <v>102</v>
      </c>
      <c r="F161" s="4">
        <v>1.0</v>
      </c>
      <c r="G161" s="4">
        <v>2.0</v>
      </c>
      <c r="H161" s="4">
        <v>3.0</v>
      </c>
      <c r="I161" s="4">
        <v>0.0</v>
      </c>
      <c r="J161" s="1">
        <v>5.0</v>
      </c>
      <c r="K161" s="1">
        <v>1.0</v>
      </c>
      <c r="L161" s="1">
        <v>-2.0</v>
      </c>
      <c r="M161" s="1">
        <v>3.0</v>
      </c>
      <c r="N161" s="1">
        <v>2.0</v>
      </c>
      <c r="O161" s="1">
        <v>2.0</v>
      </c>
      <c r="P161" s="1">
        <v>2.0</v>
      </c>
      <c r="Q161" s="1" t="s">
        <v>464</v>
      </c>
      <c r="R161" s="1"/>
      <c r="S161" s="1">
        <v>133.0</v>
      </c>
      <c r="T161" s="1" t="s">
        <v>34</v>
      </c>
      <c r="U161" s="7">
        <v>5.0</v>
      </c>
      <c r="V161" s="7">
        <v>4.0</v>
      </c>
      <c r="W161" s="7">
        <v>9.0</v>
      </c>
    </row>
    <row r="162">
      <c r="A162" s="3">
        <v>46216.47577546296</v>
      </c>
      <c r="B162" s="1" t="s">
        <v>465</v>
      </c>
      <c r="C162" s="1" t="s">
        <v>140</v>
      </c>
      <c r="D162" s="1">
        <v>1.0</v>
      </c>
      <c r="E162" s="1" t="s">
        <v>90</v>
      </c>
      <c r="F162" s="4">
        <v>0.0</v>
      </c>
      <c r="G162" s="4">
        <v>1.0</v>
      </c>
      <c r="H162" s="4">
        <v>2.0</v>
      </c>
      <c r="I162" s="4">
        <v>3.0</v>
      </c>
      <c r="J162" s="1">
        <v>5.0</v>
      </c>
      <c r="K162" s="1">
        <v>1.0</v>
      </c>
      <c r="L162" s="1">
        <v>-3.0</v>
      </c>
      <c r="M162" s="1">
        <v>0.0</v>
      </c>
      <c r="N162" s="1">
        <v>3.0</v>
      </c>
      <c r="O162" s="1">
        <v>2.0</v>
      </c>
      <c r="P162" s="1">
        <v>0.0</v>
      </c>
      <c r="Q162" s="1" t="s">
        <v>466</v>
      </c>
      <c r="R162" s="1" t="s">
        <v>467</v>
      </c>
      <c r="S162" s="1">
        <v>437.0</v>
      </c>
      <c r="T162" s="1" t="s">
        <v>28</v>
      </c>
      <c r="U162" s="7">
        <v>0.0</v>
      </c>
      <c r="V162" s="7">
        <v>5.0</v>
      </c>
      <c r="W162" s="7">
        <v>3.0</v>
      </c>
    </row>
    <row r="163">
      <c r="A163" s="3">
        <v>46216.52119212963</v>
      </c>
      <c r="B163" s="1" t="s">
        <v>468</v>
      </c>
      <c r="C163" s="1" t="s">
        <v>469</v>
      </c>
      <c r="D163" s="1">
        <v>1.0</v>
      </c>
      <c r="E163" s="1" t="s">
        <v>184</v>
      </c>
      <c r="F163" s="4">
        <v>1.0</v>
      </c>
      <c r="G163" s="4">
        <v>1.0</v>
      </c>
      <c r="H163" s="4">
        <v>4.0</v>
      </c>
      <c r="I163" s="4">
        <v>0.0</v>
      </c>
      <c r="J163" s="1">
        <v>5.0</v>
      </c>
      <c r="K163" s="1">
        <v>1.0</v>
      </c>
      <c r="L163" s="1">
        <v>-3.0</v>
      </c>
      <c r="M163" s="1">
        <v>4.0</v>
      </c>
      <c r="N163" s="1">
        <v>1.0</v>
      </c>
      <c r="O163" s="1">
        <v>1.0</v>
      </c>
      <c r="P163" s="1">
        <v>0.0</v>
      </c>
      <c r="Q163" s="1" t="s">
        <v>470</v>
      </c>
      <c r="R163" s="1"/>
      <c r="S163" s="1">
        <v>130.0</v>
      </c>
      <c r="T163" s="1" t="s">
        <v>34</v>
      </c>
      <c r="U163" s="7">
        <v>4.0</v>
      </c>
      <c r="V163" s="7">
        <v>2.0</v>
      </c>
      <c r="W163" s="7">
        <v>10.0</v>
      </c>
    </row>
    <row r="164">
      <c r="A164" s="3">
        <v>46216.53108796296</v>
      </c>
      <c r="B164" s="1" t="s">
        <v>471</v>
      </c>
      <c r="C164" s="1" t="s">
        <v>196</v>
      </c>
      <c r="D164" s="1">
        <v>1.0</v>
      </c>
      <c r="E164" s="1" t="s">
        <v>184</v>
      </c>
      <c r="F164" s="4">
        <v>1.0</v>
      </c>
      <c r="G164" s="4">
        <v>3.0</v>
      </c>
      <c r="H164" s="4">
        <v>2.0</v>
      </c>
      <c r="I164" s="4">
        <v>0.0</v>
      </c>
      <c r="J164" s="1">
        <v>6.0</v>
      </c>
      <c r="K164" s="1">
        <v>2.0</v>
      </c>
      <c r="L164" s="1">
        <v>-2.0</v>
      </c>
      <c r="M164" s="1">
        <v>0.0</v>
      </c>
      <c r="N164" s="1">
        <v>4.0</v>
      </c>
      <c r="O164" s="1">
        <v>3.0</v>
      </c>
      <c r="P164" s="1">
        <v>0.0</v>
      </c>
      <c r="Q164" s="1" t="s">
        <v>472</v>
      </c>
      <c r="R164" s="1"/>
      <c r="S164" s="1">
        <v>1094.0</v>
      </c>
      <c r="T164" s="1" t="s">
        <v>28</v>
      </c>
      <c r="U164" s="7">
        <v>0.0</v>
      </c>
      <c r="V164" s="7">
        <v>7.0</v>
      </c>
      <c r="W164" s="7">
        <v>1.0</v>
      </c>
    </row>
    <row r="165">
      <c r="A165" s="3">
        <v>46216.533217592594</v>
      </c>
      <c r="B165" s="1" t="s">
        <v>473</v>
      </c>
      <c r="C165" s="1" t="s">
        <v>474</v>
      </c>
      <c r="D165" s="1">
        <v>1.0</v>
      </c>
      <c r="E165" s="1" t="s">
        <v>184</v>
      </c>
      <c r="F165" s="4">
        <v>1.0</v>
      </c>
      <c r="G165" s="4">
        <v>1.0</v>
      </c>
      <c r="H165" s="4">
        <v>4.0</v>
      </c>
      <c r="I165" s="4">
        <v>0.0</v>
      </c>
      <c r="J165" s="1">
        <v>4.0</v>
      </c>
      <c r="K165" s="1">
        <v>0.0</v>
      </c>
      <c r="L165" s="1">
        <v>0.0</v>
      </c>
      <c r="M165" s="1">
        <v>2.0</v>
      </c>
      <c r="N165" s="1">
        <v>2.0</v>
      </c>
      <c r="O165" s="1">
        <v>2.0</v>
      </c>
      <c r="P165" s="1">
        <v>2.0</v>
      </c>
      <c r="Q165" s="1"/>
      <c r="R165" s="1"/>
      <c r="S165" s="1">
        <v>33.0</v>
      </c>
      <c r="T165" s="1" t="s">
        <v>34</v>
      </c>
      <c r="U165" s="7">
        <v>4.0</v>
      </c>
      <c r="V165" s="7">
        <v>4.0</v>
      </c>
      <c r="W165" s="7">
        <v>8.0</v>
      </c>
    </row>
    <row r="166">
      <c r="A166" s="3">
        <v>46216.669756944444</v>
      </c>
      <c r="B166" s="1" t="s">
        <v>475</v>
      </c>
      <c r="C166" s="1" t="s">
        <v>133</v>
      </c>
      <c r="D166" s="1">
        <v>1.0</v>
      </c>
      <c r="E166" s="1" t="s">
        <v>90</v>
      </c>
      <c r="F166" s="4">
        <v>1.0</v>
      </c>
      <c r="G166" s="4">
        <v>1.0</v>
      </c>
      <c r="H166" s="4">
        <v>3.0</v>
      </c>
      <c r="I166" s="4">
        <v>1.0</v>
      </c>
      <c r="J166" s="1">
        <v>4.0</v>
      </c>
      <c r="K166" s="1">
        <v>-1.0</v>
      </c>
      <c r="L166" s="1">
        <v>-2.0</v>
      </c>
      <c r="M166" s="1">
        <v>3.0</v>
      </c>
      <c r="N166" s="1">
        <v>2.0</v>
      </c>
      <c r="O166" s="1">
        <v>2.0</v>
      </c>
      <c r="P166" s="1">
        <v>3.0</v>
      </c>
      <c r="Q166" s="1" t="s">
        <v>476</v>
      </c>
      <c r="R166" s="1"/>
      <c r="S166" s="1">
        <v>637.0</v>
      </c>
      <c r="T166" s="1" t="s">
        <v>34</v>
      </c>
      <c r="U166" s="7">
        <v>6.0</v>
      </c>
      <c r="V166" s="7">
        <v>4.0</v>
      </c>
      <c r="W166" s="7">
        <v>10.0</v>
      </c>
    </row>
    <row r="167">
      <c r="A167" s="3">
        <v>46216.70853009259</v>
      </c>
      <c r="B167" s="1" t="s">
        <v>477</v>
      </c>
      <c r="C167" s="1" t="s">
        <v>215</v>
      </c>
      <c r="D167" s="1">
        <v>1.0</v>
      </c>
      <c r="E167" s="1" t="s">
        <v>102</v>
      </c>
      <c r="F167" s="4">
        <v>2.0</v>
      </c>
      <c r="G167" s="4">
        <v>3.0</v>
      </c>
      <c r="H167" s="4">
        <v>1.0</v>
      </c>
      <c r="I167" s="4">
        <v>0.0</v>
      </c>
      <c r="J167" s="1">
        <v>7.0</v>
      </c>
      <c r="K167" s="1">
        <v>3.0</v>
      </c>
      <c r="L167" s="1">
        <v>0.0</v>
      </c>
      <c r="M167" s="1">
        <v>0.0</v>
      </c>
      <c r="N167" s="1">
        <v>3.0</v>
      </c>
      <c r="O167" s="1">
        <v>2.0</v>
      </c>
      <c r="P167" s="1">
        <v>0.0</v>
      </c>
      <c r="Q167" s="1"/>
      <c r="R167" s="1"/>
      <c r="S167" s="1">
        <v>44.0</v>
      </c>
      <c r="T167" s="1" t="s">
        <v>34</v>
      </c>
      <c r="U167" s="7">
        <v>0.0</v>
      </c>
      <c r="V167" s="7">
        <v>5.0</v>
      </c>
      <c r="W167" s="7">
        <v>3.0</v>
      </c>
    </row>
    <row r="168">
      <c r="A168" s="3">
        <v>46216.886030092595</v>
      </c>
      <c r="B168" s="1" t="s">
        <v>478</v>
      </c>
      <c r="C168" s="1" t="s">
        <v>479</v>
      </c>
      <c r="D168" s="1">
        <v>1.0</v>
      </c>
      <c r="E168" s="1" t="s">
        <v>184</v>
      </c>
      <c r="F168" s="4">
        <v>0.0</v>
      </c>
      <c r="G168" s="4">
        <v>0.0</v>
      </c>
      <c r="H168" s="4">
        <v>2.0</v>
      </c>
      <c r="I168" s="4">
        <v>4.0</v>
      </c>
      <c r="J168" s="1">
        <v>2.0</v>
      </c>
      <c r="K168" s="1">
        <v>-3.0</v>
      </c>
      <c r="L168" s="1">
        <v>-2.0</v>
      </c>
      <c r="M168" s="1">
        <v>3.0</v>
      </c>
      <c r="N168" s="1">
        <v>1.0</v>
      </c>
      <c r="O168" s="1">
        <v>0.0</v>
      </c>
      <c r="P168" s="1">
        <v>3.0</v>
      </c>
      <c r="Q168" s="1"/>
      <c r="R168" s="1"/>
      <c r="S168" s="1">
        <v>51.0</v>
      </c>
      <c r="T168" s="1" t="s">
        <v>34</v>
      </c>
      <c r="U168" s="7">
        <v>6.0</v>
      </c>
      <c r="V168" s="7">
        <v>1.0</v>
      </c>
      <c r="W168" s="7">
        <v>13.0</v>
      </c>
    </row>
    <row r="169">
      <c r="A169" s="3">
        <v>46216.92503472222</v>
      </c>
      <c r="B169" s="1" t="s">
        <v>480</v>
      </c>
      <c r="C169" s="1" t="s">
        <v>240</v>
      </c>
      <c r="D169" s="1">
        <v>1.0</v>
      </c>
      <c r="E169" s="1" t="s">
        <v>184</v>
      </c>
      <c r="F169" s="4">
        <v>3.0</v>
      </c>
      <c r="G169" s="4">
        <v>1.0</v>
      </c>
      <c r="H169" s="4">
        <v>2.0</v>
      </c>
      <c r="I169" s="4">
        <v>0.0</v>
      </c>
      <c r="J169" s="1">
        <v>4.0</v>
      </c>
      <c r="K169" s="1">
        <v>-1.0</v>
      </c>
      <c r="L169" s="1">
        <v>1.0</v>
      </c>
      <c r="M169" s="1">
        <v>3.0</v>
      </c>
      <c r="N169" s="1">
        <v>3.0</v>
      </c>
      <c r="O169" s="1">
        <v>2.0</v>
      </c>
      <c r="P169" s="1">
        <v>1.0</v>
      </c>
      <c r="Q169" s="1" t="s">
        <v>481</v>
      </c>
      <c r="R169" s="1"/>
      <c r="S169" s="1">
        <v>440.0</v>
      </c>
      <c r="T169" s="1" t="s">
        <v>34</v>
      </c>
      <c r="U169" s="7">
        <v>4.0</v>
      </c>
      <c r="V169" s="7">
        <v>5.0</v>
      </c>
      <c r="W169" s="7">
        <v>7.0</v>
      </c>
    </row>
    <row r="170">
      <c r="A170" s="3">
        <v>46216.9734837963</v>
      </c>
      <c r="B170" s="1" t="s">
        <v>482</v>
      </c>
      <c r="C170" s="1" t="s">
        <v>59</v>
      </c>
      <c r="D170" s="1">
        <v>1.0</v>
      </c>
      <c r="E170" s="1" t="s">
        <v>52</v>
      </c>
      <c r="F170" s="4">
        <v>2.0</v>
      </c>
      <c r="G170" s="4">
        <v>1.0</v>
      </c>
      <c r="H170" s="4">
        <v>3.0</v>
      </c>
      <c r="I170" s="4">
        <v>0.0</v>
      </c>
      <c r="J170" s="1">
        <v>5.0</v>
      </c>
      <c r="K170" s="1">
        <v>1.0</v>
      </c>
      <c r="L170" s="1">
        <v>1.0</v>
      </c>
      <c r="M170" s="1">
        <v>2.0</v>
      </c>
      <c r="N170" s="1">
        <v>3.0</v>
      </c>
      <c r="O170" s="1">
        <v>3.0</v>
      </c>
      <c r="P170" s="1">
        <v>1.0</v>
      </c>
      <c r="Q170" s="1" t="s">
        <v>483</v>
      </c>
      <c r="R170" s="1"/>
      <c r="S170" s="1">
        <v>88.0</v>
      </c>
      <c r="T170" s="1" t="s">
        <v>34</v>
      </c>
      <c r="U170" s="7">
        <v>3.0</v>
      </c>
      <c r="V170" s="7">
        <v>6.0</v>
      </c>
      <c r="W170" s="7">
        <v>5.0</v>
      </c>
    </row>
    <row r="171">
      <c r="A171" s="3">
        <v>46216.988587962966</v>
      </c>
      <c r="B171" s="1" t="s">
        <v>484</v>
      </c>
      <c r="C171" s="1" t="s">
        <v>106</v>
      </c>
      <c r="D171" s="1">
        <v>1.0</v>
      </c>
      <c r="E171" s="1" t="s">
        <v>90</v>
      </c>
      <c r="F171" s="4">
        <v>1.0</v>
      </c>
      <c r="G171" s="4">
        <v>2.0</v>
      </c>
      <c r="H171" s="4">
        <v>3.0</v>
      </c>
      <c r="I171" s="4">
        <v>0.0</v>
      </c>
      <c r="J171" s="1">
        <v>6.0</v>
      </c>
      <c r="K171" s="1">
        <v>1.0</v>
      </c>
      <c r="L171" s="1">
        <v>-2.0</v>
      </c>
      <c r="M171" s="1">
        <v>2.0</v>
      </c>
      <c r="N171" s="1">
        <v>3.0</v>
      </c>
      <c r="O171" s="1">
        <v>2.0</v>
      </c>
      <c r="P171" s="1">
        <v>2.0</v>
      </c>
      <c r="Q171" s="1"/>
      <c r="R171" s="1"/>
      <c r="S171" s="1">
        <v>83.0</v>
      </c>
      <c r="T171" s="1" t="s">
        <v>34</v>
      </c>
      <c r="U171" s="7">
        <v>4.0</v>
      </c>
      <c r="V171" s="7">
        <v>5.0</v>
      </c>
      <c r="W171" s="7">
        <v>7.0</v>
      </c>
    </row>
    <row r="172">
      <c r="A172" s="3">
        <v>46217.2722337963</v>
      </c>
      <c r="B172" s="1" t="s">
        <v>485</v>
      </c>
      <c r="C172" s="1" t="s">
        <v>249</v>
      </c>
      <c r="D172" s="1">
        <v>1.0</v>
      </c>
      <c r="E172" s="1" t="s">
        <v>102</v>
      </c>
      <c r="F172" s="4">
        <v>1.0</v>
      </c>
      <c r="G172" s="4">
        <v>1.0</v>
      </c>
      <c r="H172" s="4">
        <v>4.0</v>
      </c>
      <c r="I172" s="4">
        <v>0.0</v>
      </c>
      <c r="J172" s="1">
        <v>3.0</v>
      </c>
      <c r="K172" s="1">
        <v>0.0</v>
      </c>
      <c r="L172" s="1">
        <v>-1.0</v>
      </c>
      <c r="M172" s="1">
        <v>2.0</v>
      </c>
      <c r="N172" s="1">
        <v>3.0</v>
      </c>
      <c r="O172" s="1">
        <v>2.0</v>
      </c>
      <c r="P172" s="1">
        <v>1.0</v>
      </c>
      <c r="Q172" s="1"/>
      <c r="R172" s="1"/>
      <c r="S172" s="1">
        <v>187.0</v>
      </c>
      <c r="T172" s="1" t="s">
        <v>34</v>
      </c>
      <c r="U172" s="7">
        <v>3.0</v>
      </c>
      <c r="V172" s="7">
        <v>5.0</v>
      </c>
      <c r="W172" s="7">
        <v>6.0</v>
      </c>
    </row>
    <row r="173">
      <c r="A173" s="3">
        <v>46217.332349537035</v>
      </c>
      <c r="B173" s="1" t="s">
        <v>486</v>
      </c>
      <c r="C173" s="1" t="s">
        <v>487</v>
      </c>
      <c r="D173" s="1">
        <v>1.0</v>
      </c>
      <c r="E173" s="1" t="s">
        <v>184</v>
      </c>
      <c r="F173" s="4">
        <v>3.0</v>
      </c>
      <c r="G173" s="4">
        <v>2.0</v>
      </c>
      <c r="H173" s="4">
        <v>1.0</v>
      </c>
      <c r="I173" s="4">
        <v>0.0</v>
      </c>
      <c r="J173" s="1">
        <v>5.0</v>
      </c>
      <c r="K173" s="1">
        <v>-1.0</v>
      </c>
      <c r="L173" s="1">
        <v>1.0</v>
      </c>
      <c r="M173" s="1">
        <v>2.0</v>
      </c>
      <c r="N173" s="1">
        <v>2.0</v>
      </c>
      <c r="O173" s="1">
        <v>1.0</v>
      </c>
      <c r="P173" s="1">
        <v>3.0</v>
      </c>
      <c r="Q173" s="1" t="s">
        <v>488</v>
      </c>
      <c r="R173" s="1"/>
      <c r="S173" s="1">
        <v>625.0</v>
      </c>
      <c r="T173" s="1" t="s">
        <v>34</v>
      </c>
      <c r="U173" s="7">
        <v>5.0</v>
      </c>
      <c r="V173" s="7">
        <v>3.0</v>
      </c>
      <c r="W173" s="7">
        <v>10.0</v>
      </c>
    </row>
    <row r="174">
      <c r="A174" s="3">
        <v>46217.33295138889</v>
      </c>
      <c r="B174" s="1" t="s">
        <v>489</v>
      </c>
      <c r="C174" s="1" t="s">
        <v>490</v>
      </c>
      <c r="D174" s="1">
        <v>1.0</v>
      </c>
      <c r="E174" s="1" t="s">
        <v>45</v>
      </c>
      <c r="F174" s="4">
        <v>3.0</v>
      </c>
      <c r="G174" s="4">
        <v>1.0</v>
      </c>
      <c r="H174" s="4">
        <v>2.0</v>
      </c>
      <c r="I174" s="4">
        <v>0.0</v>
      </c>
      <c r="J174" s="1">
        <v>5.0</v>
      </c>
      <c r="K174" s="1">
        <v>1.0</v>
      </c>
      <c r="L174" s="1">
        <v>0.0</v>
      </c>
      <c r="M174" s="1">
        <v>2.0</v>
      </c>
      <c r="N174" s="1">
        <v>2.0</v>
      </c>
      <c r="O174" s="1">
        <v>2.0</v>
      </c>
      <c r="P174" s="1">
        <v>2.0</v>
      </c>
      <c r="Q174" s="1"/>
      <c r="R174" s="1"/>
      <c r="S174" s="1">
        <v>66.0</v>
      </c>
      <c r="T174" s="1" t="s">
        <v>28</v>
      </c>
      <c r="U174" s="7">
        <v>4.0</v>
      </c>
      <c r="V174" s="7">
        <v>4.0</v>
      </c>
      <c r="W174" s="7">
        <v>8.0</v>
      </c>
    </row>
    <row r="175">
      <c r="A175" s="3">
        <v>46217.580416666664</v>
      </c>
      <c r="B175" s="1" t="s">
        <v>491</v>
      </c>
      <c r="C175" s="1" t="s">
        <v>492</v>
      </c>
      <c r="D175" s="1">
        <v>1.0</v>
      </c>
      <c r="E175" s="1" t="s">
        <v>184</v>
      </c>
      <c r="F175" s="4">
        <v>1.0</v>
      </c>
      <c r="G175" s="4">
        <v>1.0</v>
      </c>
      <c r="H175" s="4">
        <v>2.0</v>
      </c>
      <c r="I175" s="4">
        <v>2.0</v>
      </c>
      <c r="J175" s="1">
        <v>6.0</v>
      </c>
      <c r="K175" s="1">
        <v>1.0</v>
      </c>
      <c r="L175" s="1">
        <v>2.0</v>
      </c>
      <c r="M175" s="1">
        <v>2.0</v>
      </c>
      <c r="N175" s="1">
        <v>3.0</v>
      </c>
      <c r="O175" s="1">
        <v>2.0</v>
      </c>
      <c r="P175" s="1">
        <v>2.0</v>
      </c>
      <c r="Q175" s="1" t="s">
        <v>493</v>
      </c>
      <c r="R175" s="1"/>
      <c r="S175" s="1">
        <v>58.0</v>
      </c>
      <c r="T175" s="1" t="s">
        <v>34</v>
      </c>
      <c r="U175" s="7">
        <v>4.0</v>
      </c>
      <c r="V175" s="7">
        <v>5.0</v>
      </c>
      <c r="W175" s="7">
        <v>7.0</v>
      </c>
    </row>
    <row r="176">
      <c r="A176" s="3">
        <v>46217.63190972222</v>
      </c>
      <c r="B176" s="1" t="s">
        <v>494</v>
      </c>
      <c r="C176" s="1" t="s">
        <v>171</v>
      </c>
      <c r="D176" s="1">
        <v>1.0</v>
      </c>
      <c r="E176" s="1" t="s">
        <v>90</v>
      </c>
      <c r="F176" s="4">
        <v>1.0</v>
      </c>
      <c r="G176" s="4">
        <v>2.0</v>
      </c>
      <c r="H176" s="4">
        <v>3.0</v>
      </c>
      <c r="I176" s="4">
        <v>0.0</v>
      </c>
      <c r="J176" s="1">
        <v>4.0</v>
      </c>
      <c r="K176" s="1">
        <v>-1.0</v>
      </c>
      <c r="L176" s="1">
        <v>-3.0</v>
      </c>
      <c r="M176" s="1">
        <v>1.0</v>
      </c>
      <c r="N176" s="1">
        <v>3.0</v>
      </c>
      <c r="O176" s="1">
        <v>3.0</v>
      </c>
      <c r="P176" s="1">
        <v>2.0</v>
      </c>
      <c r="Q176" s="1" t="s">
        <v>495</v>
      </c>
      <c r="R176" s="1"/>
      <c r="S176" s="1">
        <v>177.0</v>
      </c>
      <c r="T176" s="1" t="s">
        <v>34</v>
      </c>
      <c r="U176" s="7">
        <v>3.0</v>
      </c>
      <c r="V176" s="7">
        <v>6.0</v>
      </c>
      <c r="W176" s="7">
        <v>5.0</v>
      </c>
    </row>
    <row r="177">
      <c r="A177" s="3">
        <v>46217.681284722225</v>
      </c>
      <c r="B177" s="1" t="s">
        <v>496</v>
      </c>
      <c r="C177" s="1" t="s">
        <v>497</v>
      </c>
      <c r="D177" s="1">
        <v>1.0</v>
      </c>
      <c r="E177" s="1" t="s">
        <v>45</v>
      </c>
      <c r="F177" s="4">
        <v>0.0</v>
      </c>
      <c r="G177" s="4">
        <v>0.0</v>
      </c>
      <c r="H177" s="4">
        <v>0.0</v>
      </c>
      <c r="I177" s="4">
        <v>6.0</v>
      </c>
      <c r="J177" s="1">
        <v>3.0</v>
      </c>
      <c r="K177" s="1">
        <v>-1.0</v>
      </c>
      <c r="L177" s="1">
        <v>3.0</v>
      </c>
      <c r="M177" s="1">
        <v>3.0</v>
      </c>
      <c r="N177" s="1">
        <v>3.0</v>
      </c>
      <c r="O177" s="1">
        <v>3.0</v>
      </c>
      <c r="P177" s="1">
        <v>0.0</v>
      </c>
      <c r="Q177" s="1"/>
      <c r="R177" s="1"/>
      <c r="S177" s="1">
        <v>66.0</v>
      </c>
      <c r="T177" s="1" t="s">
        <v>28</v>
      </c>
      <c r="U177" s="7">
        <v>3.0</v>
      </c>
      <c r="V177" s="7">
        <v>6.0</v>
      </c>
      <c r="W177" s="7">
        <v>5.0</v>
      </c>
    </row>
    <row r="178">
      <c r="A178" s="3">
        <v>46217.73390046296</v>
      </c>
      <c r="B178" s="1" t="s">
        <v>498</v>
      </c>
      <c r="C178" s="1" t="s">
        <v>266</v>
      </c>
      <c r="D178" s="1">
        <v>1.0</v>
      </c>
      <c r="E178" s="1" t="s">
        <v>184</v>
      </c>
      <c r="F178" s="4">
        <v>1.0</v>
      </c>
      <c r="G178" s="4">
        <v>1.0</v>
      </c>
      <c r="H178" s="4">
        <v>4.0</v>
      </c>
      <c r="I178" s="4">
        <v>0.0</v>
      </c>
      <c r="J178" s="1">
        <v>6.0</v>
      </c>
      <c r="K178" s="1">
        <v>-1.0</v>
      </c>
      <c r="L178" s="1">
        <v>-2.0</v>
      </c>
      <c r="M178" s="1">
        <v>2.0</v>
      </c>
      <c r="N178" s="1">
        <v>3.0</v>
      </c>
      <c r="O178" s="1">
        <v>3.0</v>
      </c>
      <c r="P178" s="1">
        <v>0.0</v>
      </c>
      <c r="Q178" s="1"/>
      <c r="R178" s="1"/>
      <c r="S178" s="1">
        <v>91.0</v>
      </c>
      <c r="T178" s="1" t="s">
        <v>34</v>
      </c>
      <c r="U178" s="7">
        <v>2.0</v>
      </c>
      <c r="V178" s="7">
        <v>6.0</v>
      </c>
      <c r="W178" s="7">
        <v>4.0</v>
      </c>
    </row>
    <row r="179">
      <c r="A179" s="3">
        <v>46217.84594907407</v>
      </c>
      <c r="B179" s="1" t="s">
        <v>499</v>
      </c>
      <c r="C179" s="1" t="s">
        <v>284</v>
      </c>
      <c r="D179" s="1">
        <v>1.0</v>
      </c>
      <c r="E179" s="1" t="s">
        <v>184</v>
      </c>
      <c r="F179" s="4">
        <v>2.0</v>
      </c>
      <c r="G179" s="4">
        <v>2.0</v>
      </c>
      <c r="H179" s="4">
        <v>2.0</v>
      </c>
      <c r="I179" s="4">
        <v>0.0</v>
      </c>
      <c r="J179" s="1">
        <v>3.0</v>
      </c>
      <c r="K179" s="1">
        <v>-1.0</v>
      </c>
      <c r="L179" s="1">
        <v>-2.0</v>
      </c>
      <c r="M179" s="1">
        <v>2.0</v>
      </c>
      <c r="N179" s="1">
        <v>3.0</v>
      </c>
      <c r="O179" s="1">
        <v>2.0</v>
      </c>
      <c r="P179" s="1">
        <v>1.0</v>
      </c>
      <c r="Q179" s="1"/>
      <c r="R179" s="1"/>
      <c r="S179" s="1">
        <v>56.0</v>
      </c>
      <c r="T179" s="1" t="s">
        <v>34</v>
      </c>
      <c r="U179" s="7">
        <v>3.0</v>
      </c>
      <c r="V179" s="7">
        <v>5.0</v>
      </c>
      <c r="W179" s="7">
        <v>6.0</v>
      </c>
    </row>
    <row r="180">
      <c r="A180" s="3">
        <v>46218.22991898148</v>
      </c>
      <c r="B180" s="1" t="s">
        <v>500</v>
      </c>
      <c r="C180" s="1" t="s">
        <v>206</v>
      </c>
      <c r="D180" s="1">
        <v>1.0</v>
      </c>
      <c r="E180" s="1" t="s">
        <v>192</v>
      </c>
      <c r="F180" s="4">
        <v>5.0</v>
      </c>
      <c r="G180" s="4">
        <v>0.0</v>
      </c>
      <c r="H180" s="4">
        <v>0.0</v>
      </c>
      <c r="I180" s="4">
        <v>1.0</v>
      </c>
      <c r="J180" s="1">
        <v>1.0</v>
      </c>
      <c r="K180" s="1">
        <v>0.0</v>
      </c>
      <c r="L180" s="1">
        <v>3.0</v>
      </c>
      <c r="M180" s="1">
        <v>3.0</v>
      </c>
      <c r="N180" s="1">
        <v>1.0</v>
      </c>
      <c r="O180" s="1">
        <v>1.0</v>
      </c>
      <c r="P180" s="1">
        <v>2.0</v>
      </c>
      <c r="Q180" s="1"/>
      <c r="R180" s="1"/>
      <c r="S180" s="1">
        <v>66.0</v>
      </c>
      <c r="T180" s="1" t="s">
        <v>28</v>
      </c>
      <c r="U180" s="7">
        <v>5.0</v>
      </c>
      <c r="V180" s="7">
        <v>2.0</v>
      </c>
      <c r="W180" s="7">
        <v>11.0</v>
      </c>
    </row>
    <row r="181">
      <c r="A181" s="3">
        <v>46218.38136574074</v>
      </c>
      <c r="B181" s="1" t="s">
        <v>501</v>
      </c>
      <c r="C181" s="1" t="s">
        <v>149</v>
      </c>
      <c r="D181" s="1">
        <v>1.0</v>
      </c>
      <c r="E181" s="1" t="s">
        <v>52</v>
      </c>
      <c r="F181" s="4">
        <v>0.0</v>
      </c>
      <c r="G181" s="4">
        <v>1.0</v>
      </c>
      <c r="H181" s="4">
        <v>2.0</v>
      </c>
      <c r="I181" s="4">
        <v>3.0</v>
      </c>
      <c r="J181" s="1">
        <v>4.0</v>
      </c>
      <c r="K181" s="1">
        <v>1.0</v>
      </c>
      <c r="L181" s="1">
        <v>2.0</v>
      </c>
      <c r="M181" s="1">
        <v>2.0</v>
      </c>
      <c r="N181" s="1">
        <v>3.0</v>
      </c>
      <c r="O181" s="1">
        <v>3.0</v>
      </c>
      <c r="P181" s="1">
        <v>2.0</v>
      </c>
      <c r="Q181" s="1"/>
      <c r="R181" s="1"/>
      <c r="S181" s="1">
        <v>97.0</v>
      </c>
      <c r="T181" s="1" t="s">
        <v>34</v>
      </c>
      <c r="U181" s="7">
        <v>4.0</v>
      </c>
      <c r="V181" s="7">
        <v>6.0</v>
      </c>
      <c r="W181" s="7">
        <v>6.0</v>
      </c>
    </row>
    <row r="182">
      <c r="A182" s="3">
        <v>46220.42623842593</v>
      </c>
      <c r="B182" s="1" t="s">
        <v>502</v>
      </c>
      <c r="C182" s="1" t="s">
        <v>181</v>
      </c>
      <c r="D182" s="1">
        <v>1.0</v>
      </c>
      <c r="E182" s="1" t="s">
        <v>37</v>
      </c>
      <c r="F182" s="4">
        <v>1.0</v>
      </c>
      <c r="G182" s="4">
        <v>1.0</v>
      </c>
      <c r="H182" s="4">
        <v>1.0</v>
      </c>
      <c r="I182" s="4">
        <v>3.0</v>
      </c>
      <c r="J182" s="1">
        <v>2.0</v>
      </c>
      <c r="K182" s="1">
        <v>-2.0</v>
      </c>
      <c r="L182" s="1">
        <v>0.0</v>
      </c>
      <c r="M182" s="1">
        <v>1.0</v>
      </c>
      <c r="N182" s="1">
        <v>2.0</v>
      </c>
      <c r="O182" s="1">
        <v>1.0</v>
      </c>
      <c r="P182" s="1">
        <v>3.0</v>
      </c>
      <c r="Q182" s="1"/>
      <c r="R182" s="1"/>
      <c r="S182" s="1">
        <v>511.0</v>
      </c>
      <c r="T182" s="1" t="s">
        <v>28</v>
      </c>
      <c r="U182" s="7">
        <v>4.0</v>
      </c>
      <c r="V182" s="7">
        <v>3.0</v>
      </c>
      <c r="W182" s="7">
        <v>9.0</v>
      </c>
    </row>
    <row r="183">
      <c r="A183" s="3">
        <v>46222.40060185185</v>
      </c>
      <c r="B183" s="1" t="s">
        <v>503</v>
      </c>
      <c r="C183" s="1" t="s">
        <v>474</v>
      </c>
      <c r="D183" s="1">
        <v>2.0</v>
      </c>
      <c r="E183" s="1" t="s">
        <v>192</v>
      </c>
      <c r="F183" s="4">
        <v>2.0</v>
      </c>
      <c r="G183" s="4">
        <v>2.0</v>
      </c>
      <c r="H183" s="4">
        <v>2.0</v>
      </c>
      <c r="I183" s="4">
        <v>0.0</v>
      </c>
      <c r="J183" s="1">
        <v>4.0</v>
      </c>
      <c r="K183" s="1">
        <v>0.0</v>
      </c>
      <c r="L183" s="1">
        <v>0.0</v>
      </c>
      <c r="M183" s="1">
        <v>2.0</v>
      </c>
      <c r="N183" s="1">
        <v>2.0</v>
      </c>
      <c r="O183" s="1">
        <v>2.0</v>
      </c>
      <c r="P183" s="1">
        <v>2.0</v>
      </c>
      <c r="Q183" s="1"/>
      <c r="R183" s="1"/>
      <c r="S183" s="1">
        <v>29.0</v>
      </c>
      <c r="T183" s="1" t="s">
        <v>28</v>
      </c>
      <c r="U183" s="7">
        <v>4.0</v>
      </c>
      <c r="V183" s="7">
        <v>4.0</v>
      </c>
      <c r="W183" s="7">
        <v>8.0</v>
      </c>
    </row>
    <row r="184">
      <c r="A184" s="3">
        <v>46222.40493055555</v>
      </c>
      <c r="B184" s="1" t="s">
        <v>504</v>
      </c>
      <c r="C184" s="1" t="s">
        <v>208</v>
      </c>
      <c r="D184" s="1">
        <v>2.0</v>
      </c>
      <c r="E184" s="1" t="s">
        <v>192</v>
      </c>
      <c r="F184" s="4">
        <v>2.0</v>
      </c>
      <c r="G184" s="4">
        <v>1.0</v>
      </c>
      <c r="H184" s="4">
        <v>3.0</v>
      </c>
      <c r="I184" s="4">
        <v>0.0</v>
      </c>
      <c r="J184" s="1">
        <v>3.0</v>
      </c>
      <c r="K184" s="1">
        <v>-2.0</v>
      </c>
      <c r="L184" s="1">
        <v>0.0</v>
      </c>
      <c r="M184" s="1">
        <v>2.0</v>
      </c>
      <c r="N184" s="1">
        <v>2.0</v>
      </c>
      <c r="O184" s="1">
        <v>2.0</v>
      </c>
      <c r="P184" s="1">
        <v>2.0</v>
      </c>
      <c r="Q184" s="1"/>
      <c r="R184" s="1"/>
      <c r="S184" s="1">
        <v>40.0</v>
      </c>
      <c r="T184" s="1" t="s">
        <v>28</v>
      </c>
      <c r="U184" s="7">
        <v>4.0</v>
      </c>
      <c r="V184" s="7">
        <v>4.0</v>
      </c>
      <c r="W184" s="7">
        <v>8.0</v>
      </c>
    </row>
    <row r="185">
      <c r="A185" s="3">
        <v>46222.406805555554</v>
      </c>
      <c r="B185" s="1" t="s">
        <v>505</v>
      </c>
      <c r="C185" s="1" t="s">
        <v>244</v>
      </c>
      <c r="D185" s="1">
        <v>2.0</v>
      </c>
      <c r="E185" s="1" t="s">
        <v>31</v>
      </c>
      <c r="F185" s="4">
        <v>2.0</v>
      </c>
      <c r="G185" s="4">
        <v>2.0</v>
      </c>
      <c r="H185" s="4">
        <v>2.0</v>
      </c>
      <c r="I185" s="4">
        <v>0.0</v>
      </c>
      <c r="J185" s="1">
        <v>5.0</v>
      </c>
      <c r="K185" s="1">
        <v>0.0</v>
      </c>
      <c r="L185" s="1">
        <v>2.0</v>
      </c>
      <c r="M185" s="1">
        <v>0.0</v>
      </c>
      <c r="N185" s="1">
        <v>3.0</v>
      </c>
      <c r="O185" s="1">
        <v>3.0</v>
      </c>
      <c r="P185" s="1">
        <v>0.0</v>
      </c>
      <c r="Q185" s="1"/>
      <c r="R185" s="1"/>
      <c r="S185" s="1">
        <v>74.0</v>
      </c>
      <c r="T185" s="1" t="s">
        <v>34</v>
      </c>
      <c r="U185" s="7">
        <v>0.0</v>
      </c>
      <c r="V185" s="7">
        <v>6.0</v>
      </c>
      <c r="W185" s="7">
        <v>2.0</v>
      </c>
    </row>
    <row r="186">
      <c r="A186" s="3">
        <v>46222.40896990741</v>
      </c>
      <c r="B186" s="1" t="s">
        <v>506</v>
      </c>
      <c r="C186" s="1" t="s">
        <v>507</v>
      </c>
      <c r="D186" s="1">
        <v>2.0</v>
      </c>
      <c r="E186" s="1" t="s">
        <v>184</v>
      </c>
      <c r="F186" s="4">
        <v>0.0</v>
      </c>
      <c r="G186" s="4">
        <v>4.0</v>
      </c>
      <c r="H186" s="4">
        <v>2.0</v>
      </c>
      <c r="I186" s="4">
        <v>0.0</v>
      </c>
      <c r="J186" s="1">
        <v>6.0</v>
      </c>
      <c r="K186" s="1">
        <v>0.0</v>
      </c>
      <c r="L186" s="1">
        <v>-2.0</v>
      </c>
      <c r="M186" s="1">
        <v>1.0</v>
      </c>
      <c r="N186" s="1">
        <v>3.0</v>
      </c>
      <c r="O186" s="1">
        <v>3.0</v>
      </c>
      <c r="P186" s="1">
        <v>1.0</v>
      </c>
      <c r="Q186" s="1"/>
      <c r="R186" s="1"/>
      <c r="S186" s="1">
        <v>91.0</v>
      </c>
      <c r="T186" s="1" t="s">
        <v>34</v>
      </c>
      <c r="U186" s="7">
        <v>2.0</v>
      </c>
      <c r="V186" s="7">
        <v>6.0</v>
      </c>
      <c r="W186" s="7">
        <v>4.0</v>
      </c>
    </row>
    <row r="187">
      <c r="A187" s="3">
        <v>46222.41516203704</v>
      </c>
      <c r="B187" s="1" t="s">
        <v>508</v>
      </c>
      <c r="C187" s="1" t="s">
        <v>89</v>
      </c>
      <c r="D187" s="1">
        <v>2.0</v>
      </c>
      <c r="E187" s="1" t="s">
        <v>85</v>
      </c>
      <c r="F187" s="4">
        <v>1.0</v>
      </c>
      <c r="G187" s="4">
        <v>3.0</v>
      </c>
      <c r="H187" s="4">
        <v>2.0</v>
      </c>
      <c r="I187" s="4">
        <v>0.0</v>
      </c>
      <c r="J187" s="1">
        <v>6.0</v>
      </c>
      <c r="K187" s="1">
        <v>2.0</v>
      </c>
      <c r="L187" s="1">
        <v>-3.0</v>
      </c>
      <c r="M187" s="1">
        <v>2.0</v>
      </c>
      <c r="N187" s="1">
        <v>2.0</v>
      </c>
      <c r="O187" s="1">
        <v>2.0</v>
      </c>
      <c r="P187" s="1">
        <v>2.0</v>
      </c>
      <c r="Q187" s="1"/>
      <c r="R187" s="1" t="s">
        <v>509</v>
      </c>
      <c r="S187" s="1">
        <v>128.0</v>
      </c>
      <c r="T187" s="1" t="s">
        <v>28</v>
      </c>
      <c r="U187" s="7">
        <v>4.0</v>
      </c>
      <c r="V187" s="7">
        <v>4.0</v>
      </c>
      <c r="W187" s="7">
        <v>8.0</v>
      </c>
    </row>
    <row r="188">
      <c r="A188" s="3">
        <v>46222.41767361111</v>
      </c>
      <c r="B188" s="1" t="s">
        <v>510</v>
      </c>
      <c r="C188" s="1" t="s">
        <v>111</v>
      </c>
      <c r="D188" s="1">
        <v>2.0</v>
      </c>
      <c r="E188" s="1" t="s">
        <v>184</v>
      </c>
      <c r="F188" s="4">
        <v>2.0</v>
      </c>
      <c r="G188" s="4">
        <v>1.0</v>
      </c>
      <c r="H188" s="4">
        <v>3.0</v>
      </c>
      <c r="I188" s="4">
        <v>0.0</v>
      </c>
      <c r="J188" s="1">
        <v>4.0</v>
      </c>
      <c r="K188" s="1">
        <v>-1.0</v>
      </c>
      <c r="L188" s="1">
        <v>-3.0</v>
      </c>
      <c r="M188" s="1">
        <v>2.0</v>
      </c>
      <c r="N188" s="1">
        <v>1.0</v>
      </c>
      <c r="O188" s="1">
        <v>2.0</v>
      </c>
      <c r="P188" s="1">
        <v>2.0</v>
      </c>
      <c r="Q188" s="1"/>
      <c r="R188" s="1" t="s">
        <v>511</v>
      </c>
      <c r="S188" s="1">
        <v>217.0</v>
      </c>
      <c r="T188" s="1" t="s">
        <v>28</v>
      </c>
      <c r="U188" s="7">
        <v>4.0</v>
      </c>
      <c r="V188" s="7">
        <v>3.0</v>
      </c>
      <c r="W188" s="7">
        <v>9.0</v>
      </c>
    </row>
    <row r="189">
      <c r="A189" s="3">
        <v>46222.42267361111</v>
      </c>
      <c r="B189" s="1" t="s">
        <v>512</v>
      </c>
      <c r="C189" s="1" t="s">
        <v>191</v>
      </c>
      <c r="D189" s="1">
        <v>2.0</v>
      </c>
      <c r="E189" s="1" t="s">
        <v>192</v>
      </c>
      <c r="F189" s="4">
        <v>1.0</v>
      </c>
      <c r="G189" s="4">
        <v>3.0</v>
      </c>
      <c r="H189" s="4">
        <v>2.0</v>
      </c>
      <c r="I189" s="4">
        <v>0.0</v>
      </c>
      <c r="J189" s="1">
        <v>6.0</v>
      </c>
      <c r="K189" s="1">
        <v>1.0</v>
      </c>
      <c r="L189" s="1">
        <v>0.0</v>
      </c>
      <c r="M189" s="1">
        <v>2.0</v>
      </c>
      <c r="N189" s="1">
        <v>3.0</v>
      </c>
      <c r="O189" s="1">
        <v>3.0</v>
      </c>
      <c r="P189" s="1">
        <v>2.0</v>
      </c>
      <c r="Q189" s="1" t="s">
        <v>513</v>
      </c>
      <c r="R189" s="1"/>
      <c r="S189" s="1">
        <v>124.0</v>
      </c>
      <c r="T189" s="1" t="s">
        <v>28</v>
      </c>
      <c r="U189" s="7">
        <v>4.0</v>
      </c>
      <c r="V189" s="7">
        <v>6.0</v>
      </c>
      <c r="W189" s="7">
        <v>6.0</v>
      </c>
    </row>
    <row r="190">
      <c r="A190" s="3">
        <v>46222.42398148148</v>
      </c>
      <c r="B190" s="1" t="s">
        <v>514</v>
      </c>
      <c r="C190" s="1" t="s">
        <v>278</v>
      </c>
      <c r="D190" s="1">
        <v>2.0</v>
      </c>
      <c r="E190" s="1" t="s">
        <v>52</v>
      </c>
      <c r="F190" s="4">
        <v>3.0</v>
      </c>
      <c r="G190" s="4">
        <v>2.0</v>
      </c>
      <c r="H190" s="4">
        <v>1.0</v>
      </c>
      <c r="I190" s="4">
        <v>0.0</v>
      </c>
      <c r="J190" s="1">
        <v>4.0</v>
      </c>
      <c r="K190" s="1">
        <v>1.0</v>
      </c>
      <c r="L190" s="1">
        <v>3.0</v>
      </c>
      <c r="M190" s="1">
        <v>2.0</v>
      </c>
      <c r="N190" s="1">
        <v>3.0</v>
      </c>
      <c r="O190" s="1">
        <v>2.0</v>
      </c>
      <c r="P190" s="1">
        <v>2.0</v>
      </c>
      <c r="Q190" s="1" t="s">
        <v>515</v>
      </c>
      <c r="R190" s="1"/>
      <c r="S190" s="1">
        <v>756.0</v>
      </c>
      <c r="T190" s="1" t="s">
        <v>28</v>
      </c>
      <c r="U190" s="7">
        <v>4.0</v>
      </c>
      <c r="V190" s="7">
        <v>5.0</v>
      </c>
      <c r="W190" s="7">
        <v>7.0</v>
      </c>
    </row>
    <row r="191">
      <c r="A191" s="3">
        <v>46222.42802083334</v>
      </c>
      <c r="B191" s="1" t="s">
        <v>516</v>
      </c>
      <c r="C191" s="1" t="s">
        <v>362</v>
      </c>
      <c r="D191" s="1">
        <v>2.0</v>
      </c>
      <c r="E191" s="1" t="s">
        <v>52</v>
      </c>
      <c r="F191" s="4">
        <v>0.0</v>
      </c>
      <c r="G191" s="4">
        <v>2.0</v>
      </c>
      <c r="H191" s="4">
        <v>4.0</v>
      </c>
      <c r="I191" s="4">
        <v>0.0</v>
      </c>
      <c r="J191" s="1">
        <v>3.0</v>
      </c>
      <c r="K191" s="1">
        <v>-1.0</v>
      </c>
      <c r="L191" s="1">
        <v>1.0</v>
      </c>
      <c r="M191" s="1">
        <v>1.0</v>
      </c>
      <c r="N191" s="1">
        <v>3.0</v>
      </c>
      <c r="O191" s="1">
        <v>2.0</v>
      </c>
      <c r="P191" s="1">
        <v>3.0</v>
      </c>
      <c r="Q191" s="1" t="s">
        <v>517</v>
      </c>
      <c r="R191" s="1"/>
      <c r="S191" s="1">
        <v>252.0</v>
      </c>
      <c r="T191" s="1" t="s">
        <v>28</v>
      </c>
      <c r="U191" s="7">
        <v>4.0</v>
      </c>
      <c r="V191" s="7">
        <v>5.0</v>
      </c>
      <c r="W191" s="7">
        <v>7.0</v>
      </c>
    </row>
    <row r="192">
      <c r="A192" s="3">
        <v>46222.43533564815</v>
      </c>
      <c r="B192" s="1" t="s">
        <v>518</v>
      </c>
      <c r="C192" s="1" t="s">
        <v>189</v>
      </c>
      <c r="D192" s="1">
        <v>2.0</v>
      </c>
      <c r="E192" s="1" t="s">
        <v>184</v>
      </c>
      <c r="F192" s="4">
        <v>0.0</v>
      </c>
      <c r="G192" s="4">
        <v>3.0</v>
      </c>
      <c r="H192" s="4">
        <v>3.0</v>
      </c>
      <c r="I192" s="4">
        <v>0.0</v>
      </c>
      <c r="J192" s="1">
        <v>5.0</v>
      </c>
      <c r="K192" s="1">
        <v>2.0</v>
      </c>
      <c r="L192" s="1">
        <v>-3.0</v>
      </c>
      <c r="M192" s="1">
        <v>0.0</v>
      </c>
      <c r="N192" s="1">
        <v>0.0</v>
      </c>
      <c r="O192" s="1">
        <v>2.0</v>
      </c>
      <c r="P192" s="1">
        <v>0.0</v>
      </c>
      <c r="Q192" s="1"/>
      <c r="R192" s="1"/>
      <c r="S192" s="1">
        <v>42.0</v>
      </c>
      <c r="T192" s="1" t="s">
        <v>34</v>
      </c>
      <c r="U192" s="7">
        <v>0.0</v>
      </c>
      <c r="V192" s="7">
        <v>2.0</v>
      </c>
      <c r="W192" s="7">
        <v>6.0</v>
      </c>
    </row>
    <row r="193">
      <c r="A193" s="3">
        <v>46222.4359375</v>
      </c>
      <c r="B193" s="1" t="s">
        <v>519</v>
      </c>
      <c r="C193" s="1" t="s">
        <v>196</v>
      </c>
      <c r="D193" s="1">
        <v>2.0</v>
      </c>
      <c r="E193" s="1" t="s">
        <v>184</v>
      </c>
      <c r="F193" s="4">
        <v>2.0</v>
      </c>
      <c r="G193" s="4">
        <v>2.0</v>
      </c>
      <c r="H193" s="4">
        <v>2.0</v>
      </c>
      <c r="I193" s="4">
        <v>0.0</v>
      </c>
      <c r="J193" s="1">
        <v>6.0</v>
      </c>
      <c r="K193" s="1">
        <v>0.0</v>
      </c>
      <c r="L193" s="1">
        <v>-2.0</v>
      </c>
      <c r="M193" s="1">
        <v>0.0</v>
      </c>
      <c r="N193" s="1">
        <v>4.0</v>
      </c>
      <c r="O193" s="1">
        <v>4.0</v>
      </c>
      <c r="P193" s="1">
        <v>0.0</v>
      </c>
      <c r="Q193" s="1"/>
      <c r="R193" s="1"/>
      <c r="S193" s="1">
        <v>84.0</v>
      </c>
      <c r="T193" s="1" t="s">
        <v>28</v>
      </c>
      <c r="U193" s="7">
        <v>0.0</v>
      </c>
      <c r="V193" s="7">
        <v>8.0</v>
      </c>
      <c r="W193" s="7">
        <v>0.0</v>
      </c>
    </row>
    <row r="194">
      <c r="A194" s="3">
        <v>46222.437314814815</v>
      </c>
      <c r="B194" s="1" t="s">
        <v>520</v>
      </c>
      <c r="C194" s="1" t="s">
        <v>217</v>
      </c>
      <c r="D194" s="1">
        <v>2.0</v>
      </c>
      <c r="E194" s="1" t="s">
        <v>184</v>
      </c>
      <c r="F194" s="4">
        <v>4.0</v>
      </c>
      <c r="G194" s="4">
        <v>1.0</v>
      </c>
      <c r="H194" s="4">
        <v>1.0</v>
      </c>
      <c r="I194" s="4">
        <v>0.0</v>
      </c>
      <c r="J194" s="1">
        <v>5.0</v>
      </c>
      <c r="K194" s="1">
        <v>-2.0</v>
      </c>
      <c r="L194" s="1">
        <v>2.0</v>
      </c>
      <c r="M194" s="1">
        <v>2.0</v>
      </c>
      <c r="N194" s="1">
        <v>3.0</v>
      </c>
      <c r="O194" s="1">
        <v>3.0</v>
      </c>
      <c r="P194" s="1">
        <v>2.0</v>
      </c>
      <c r="Q194" s="1" t="s">
        <v>521</v>
      </c>
      <c r="R194" s="1" t="s">
        <v>522</v>
      </c>
      <c r="S194" s="1">
        <v>428.0</v>
      </c>
      <c r="T194" s="1" t="s">
        <v>28</v>
      </c>
      <c r="U194" s="7">
        <v>4.0</v>
      </c>
      <c r="V194" s="7">
        <v>6.0</v>
      </c>
      <c r="W194" s="7">
        <v>6.0</v>
      </c>
    </row>
    <row r="195">
      <c r="A195" s="3">
        <v>46222.439930555556</v>
      </c>
      <c r="B195" s="1" t="s">
        <v>523</v>
      </c>
      <c r="C195" s="1" t="s">
        <v>365</v>
      </c>
      <c r="D195" s="1">
        <v>2.0</v>
      </c>
      <c r="E195" s="1" t="s">
        <v>184</v>
      </c>
      <c r="F195" s="4">
        <v>0.0</v>
      </c>
      <c r="G195" s="4">
        <v>2.0</v>
      </c>
      <c r="H195" s="4">
        <v>4.0</v>
      </c>
      <c r="I195" s="4">
        <v>0.0</v>
      </c>
      <c r="J195" s="1">
        <v>3.0</v>
      </c>
      <c r="K195" s="1">
        <v>-2.0</v>
      </c>
      <c r="L195" s="1">
        <v>0.0</v>
      </c>
      <c r="M195" s="1">
        <v>3.0</v>
      </c>
      <c r="N195" s="1">
        <v>2.0</v>
      </c>
      <c r="O195" s="1">
        <v>0.0</v>
      </c>
      <c r="P195" s="1">
        <v>3.0</v>
      </c>
      <c r="Q195" s="1"/>
      <c r="R195" s="1"/>
      <c r="S195" s="1">
        <v>46.0</v>
      </c>
      <c r="T195" s="1" t="s">
        <v>28</v>
      </c>
      <c r="U195" s="7">
        <v>6.0</v>
      </c>
      <c r="V195" s="7">
        <v>2.0</v>
      </c>
      <c r="W195" s="7">
        <v>12.0</v>
      </c>
    </row>
    <row r="196">
      <c r="A196" s="3">
        <v>46222.44237268518</v>
      </c>
      <c r="B196" s="1" t="s">
        <v>524</v>
      </c>
      <c r="C196" s="1" t="s">
        <v>356</v>
      </c>
      <c r="D196" s="1">
        <v>2.0</v>
      </c>
      <c r="E196" s="1" t="s">
        <v>184</v>
      </c>
      <c r="F196" s="4">
        <v>0.0</v>
      </c>
      <c r="G196" s="4">
        <v>3.0</v>
      </c>
      <c r="H196" s="4">
        <v>2.0</v>
      </c>
      <c r="I196" s="4">
        <v>1.0</v>
      </c>
      <c r="J196" s="1">
        <v>3.0</v>
      </c>
      <c r="K196" s="1">
        <v>-1.0</v>
      </c>
      <c r="L196" s="1">
        <v>0.0</v>
      </c>
      <c r="M196" s="1">
        <v>1.0</v>
      </c>
      <c r="N196" s="1">
        <v>3.0</v>
      </c>
      <c r="O196" s="1">
        <v>3.0</v>
      </c>
      <c r="P196" s="1">
        <v>1.0</v>
      </c>
      <c r="Q196" s="1"/>
      <c r="R196" s="1"/>
      <c r="S196" s="1">
        <v>91.0</v>
      </c>
      <c r="T196" s="1" t="s">
        <v>34</v>
      </c>
      <c r="U196" s="7">
        <v>2.0</v>
      </c>
      <c r="V196" s="7">
        <v>6.0</v>
      </c>
      <c r="W196" s="7">
        <v>4.0</v>
      </c>
    </row>
    <row r="197">
      <c r="A197" s="3">
        <v>46222.4428125</v>
      </c>
      <c r="B197" s="1" t="s">
        <v>525</v>
      </c>
      <c r="C197" s="1" t="s">
        <v>526</v>
      </c>
      <c r="D197" s="1">
        <v>2.0</v>
      </c>
      <c r="E197" s="1" t="s">
        <v>192</v>
      </c>
      <c r="F197" s="4">
        <v>3.0</v>
      </c>
      <c r="G197" s="4">
        <v>2.0</v>
      </c>
      <c r="H197" s="4">
        <v>1.0</v>
      </c>
      <c r="I197" s="4">
        <v>0.0</v>
      </c>
      <c r="J197" s="1">
        <v>6.0</v>
      </c>
      <c r="K197" s="1">
        <v>-1.0</v>
      </c>
      <c r="L197" s="1">
        <v>0.0</v>
      </c>
      <c r="M197" s="1">
        <v>1.0</v>
      </c>
      <c r="N197" s="1">
        <v>3.0</v>
      </c>
      <c r="O197" s="1">
        <v>3.0</v>
      </c>
      <c r="P197" s="1">
        <v>0.0</v>
      </c>
      <c r="Q197" s="1"/>
      <c r="R197" s="1"/>
      <c r="S197" s="1">
        <v>51.0</v>
      </c>
      <c r="T197" s="1" t="s">
        <v>28</v>
      </c>
      <c r="U197" s="7">
        <v>1.0</v>
      </c>
      <c r="V197" s="7">
        <v>6.0</v>
      </c>
      <c r="W197" s="7">
        <v>3.0</v>
      </c>
    </row>
    <row r="198">
      <c r="A198" s="3">
        <v>46222.446493055555</v>
      </c>
      <c r="B198" s="1" t="s">
        <v>527</v>
      </c>
      <c r="C198" s="1" t="s">
        <v>41</v>
      </c>
      <c r="D198" s="1">
        <v>1.0</v>
      </c>
      <c r="E198" s="1" t="s">
        <v>31</v>
      </c>
      <c r="F198" s="4">
        <v>0.0</v>
      </c>
      <c r="G198" s="4">
        <v>3.0</v>
      </c>
      <c r="H198" s="4">
        <v>3.0</v>
      </c>
      <c r="I198" s="4">
        <v>0.0</v>
      </c>
      <c r="J198" s="1">
        <v>7.0</v>
      </c>
      <c r="K198" s="1">
        <v>3.0</v>
      </c>
      <c r="L198" s="1">
        <v>-3.0</v>
      </c>
      <c r="M198" s="1">
        <v>0.0</v>
      </c>
      <c r="N198" s="1">
        <v>1.0</v>
      </c>
      <c r="O198" s="1">
        <v>3.0</v>
      </c>
      <c r="P198" s="1">
        <v>2.0</v>
      </c>
      <c r="Q198" s="1"/>
      <c r="R198" s="1"/>
      <c r="S198" s="1">
        <v>51.0</v>
      </c>
      <c r="T198" s="1" t="s">
        <v>28</v>
      </c>
      <c r="U198" s="7">
        <v>2.0</v>
      </c>
      <c r="V198" s="7">
        <v>4.0</v>
      </c>
      <c r="W198" s="7">
        <v>6.0</v>
      </c>
    </row>
    <row r="199">
      <c r="A199" s="3">
        <v>46222.46074074074</v>
      </c>
      <c r="B199" s="1" t="s">
        <v>528</v>
      </c>
      <c r="C199" s="1" t="s">
        <v>81</v>
      </c>
      <c r="D199" s="1">
        <v>2.0</v>
      </c>
      <c r="E199" s="1" t="s">
        <v>45</v>
      </c>
      <c r="F199" s="4">
        <v>0.0</v>
      </c>
      <c r="G199" s="4">
        <v>0.0</v>
      </c>
      <c r="H199" s="4">
        <v>0.0</v>
      </c>
      <c r="I199" s="4">
        <v>6.0</v>
      </c>
      <c r="J199" s="1">
        <v>5.0</v>
      </c>
      <c r="K199" s="1">
        <v>1.0</v>
      </c>
      <c r="L199" s="1">
        <v>0.0</v>
      </c>
      <c r="M199" s="1">
        <v>2.0</v>
      </c>
      <c r="N199" s="1">
        <v>3.0</v>
      </c>
      <c r="O199" s="1">
        <v>1.0</v>
      </c>
      <c r="P199" s="1">
        <v>0.0</v>
      </c>
      <c r="Q199" s="1" t="s">
        <v>529</v>
      </c>
      <c r="R199" s="1" t="s">
        <v>530</v>
      </c>
      <c r="S199" s="1">
        <v>69.0</v>
      </c>
      <c r="T199" s="1" t="s">
        <v>28</v>
      </c>
      <c r="U199" s="7">
        <v>2.0</v>
      </c>
      <c r="V199" s="7">
        <v>4.0</v>
      </c>
      <c r="W199" s="7">
        <v>6.0</v>
      </c>
    </row>
    <row r="200">
      <c r="A200" s="3">
        <v>46222.4646875</v>
      </c>
      <c r="B200" s="1" t="s">
        <v>531</v>
      </c>
      <c r="C200" s="1" t="s">
        <v>532</v>
      </c>
      <c r="D200" s="1">
        <v>2.0</v>
      </c>
      <c r="E200" s="1" t="s">
        <v>184</v>
      </c>
      <c r="F200" s="4">
        <v>1.0</v>
      </c>
      <c r="G200" s="4">
        <v>4.0</v>
      </c>
      <c r="H200" s="4">
        <v>1.0</v>
      </c>
      <c r="I200" s="4">
        <v>0.0</v>
      </c>
      <c r="J200" s="1">
        <v>6.0</v>
      </c>
      <c r="K200" s="1">
        <v>2.0</v>
      </c>
      <c r="L200" s="1">
        <v>0.0</v>
      </c>
      <c r="M200" s="1">
        <v>0.0</v>
      </c>
      <c r="N200" s="1">
        <v>3.0</v>
      </c>
      <c r="O200" s="1">
        <v>3.0</v>
      </c>
      <c r="P200" s="1">
        <v>0.0</v>
      </c>
      <c r="Q200" s="1"/>
      <c r="R200" s="1"/>
      <c r="S200" s="1">
        <v>93.0</v>
      </c>
      <c r="T200" s="1" t="s">
        <v>28</v>
      </c>
      <c r="U200" s="7">
        <v>0.0</v>
      </c>
      <c r="V200" s="7">
        <v>6.0</v>
      </c>
      <c r="W200" s="7">
        <v>2.0</v>
      </c>
    </row>
    <row r="201">
      <c r="A201" s="3">
        <v>46222.47157407407</v>
      </c>
      <c r="B201" s="1" t="s">
        <v>533</v>
      </c>
      <c r="C201" s="1" t="s">
        <v>372</v>
      </c>
      <c r="D201" s="1">
        <v>2.0</v>
      </c>
      <c r="E201" s="1" t="s">
        <v>184</v>
      </c>
      <c r="F201" s="4">
        <v>2.0</v>
      </c>
      <c r="G201" s="4">
        <v>2.0</v>
      </c>
      <c r="H201" s="4">
        <v>2.0</v>
      </c>
      <c r="I201" s="4">
        <v>0.0</v>
      </c>
      <c r="J201" s="1">
        <v>5.0</v>
      </c>
      <c r="K201" s="1">
        <v>1.0</v>
      </c>
      <c r="L201" s="1">
        <v>1.0</v>
      </c>
      <c r="M201" s="1">
        <v>1.0</v>
      </c>
      <c r="N201" s="1">
        <v>3.0</v>
      </c>
      <c r="O201" s="1">
        <v>3.0</v>
      </c>
      <c r="P201" s="1">
        <v>1.0</v>
      </c>
      <c r="Q201" s="1" t="s">
        <v>534</v>
      </c>
      <c r="R201" s="1"/>
      <c r="S201" s="1">
        <v>270.0</v>
      </c>
      <c r="T201" s="1" t="s">
        <v>34</v>
      </c>
      <c r="U201" s="7">
        <v>2.0</v>
      </c>
      <c r="V201" s="7">
        <v>6.0</v>
      </c>
      <c r="W201" s="7">
        <v>4.0</v>
      </c>
    </row>
    <row r="202">
      <c r="A202" s="3">
        <v>46222.48706018519</v>
      </c>
      <c r="B202" s="1" t="s">
        <v>535</v>
      </c>
      <c r="C202" s="1" t="s">
        <v>536</v>
      </c>
      <c r="D202" s="1">
        <v>2.0</v>
      </c>
      <c r="E202" s="1" t="s">
        <v>49</v>
      </c>
      <c r="F202" s="4">
        <v>2.0</v>
      </c>
      <c r="G202" s="4">
        <v>3.0</v>
      </c>
      <c r="H202" s="4">
        <v>1.0</v>
      </c>
      <c r="I202" s="4">
        <v>0.0</v>
      </c>
      <c r="J202" s="1">
        <v>7.0</v>
      </c>
      <c r="K202" s="1">
        <v>2.0</v>
      </c>
      <c r="L202" s="1">
        <v>2.0</v>
      </c>
      <c r="M202" s="1">
        <v>2.0</v>
      </c>
      <c r="N202" s="1">
        <v>3.0</v>
      </c>
      <c r="O202" s="1">
        <v>2.0</v>
      </c>
      <c r="P202" s="1">
        <v>2.0</v>
      </c>
      <c r="Q202" s="1" t="s">
        <v>537</v>
      </c>
      <c r="R202" s="1"/>
      <c r="S202" s="1">
        <v>110.0</v>
      </c>
      <c r="T202" s="1" t="s">
        <v>28</v>
      </c>
      <c r="U202" s="7">
        <v>4.0</v>
      </c>
      <c r="V202" s="7">
        <v>5.0</v>
      </c>
      <c r="W202" s="7">
        <v>7.0</v>
      </c>
    </row>
    <row r="203">
      <c r="A203" s="3">
        <v>46222.48777777778</v>
      </c>
      <c r="B203" s="1" t="s">
        <v>538</v>
      </c>
      <c r="C203" s="1" t="s">
        <v>237</v>
      </c>
      <c r="D203" s="1">
        <v>2.0</v>
      </c>
      <c r="E203" s="1" t="s">
        <v>184</v>
      </c>
      <c r="F203" s="4">
        <v>1.0</v>
      </c>
      <c r="G203" s="4">
        <v>2.0</v>
      </c>
      <c r="H203" s="4">
        <v>3.0</v>
      </c>
      <c r="I203" s="4">
        <v>0.0</v>
      </c>
      <c r="J203" s="1">
        <v>5.0</v>
      </c>
      <c r="K203" s="1">
        <v>2.0</v>
      </c>
      <c r="L203" s="1">
        <v>-3.0</v>
      </c>
      <c r="M203" s="1">
        <v>1.0</v>
      </c>
      <c r="N203" s="1">
        <v>3.0</v>
      </c>
      <c r="O203" s="1">
        <v>3.0</v>
      </c>
      <c r="P203" s="1">
        <v>2.0</v>
      </c>
      <c r="Q203" s="1" t="s">
        <v>539</v>
      </c>
      <c r="R203" s="1"/>
      <c r="S203" s="1">
        <v>213.0</v>
      </c>
      <c r="T203" s="1" t="s">
        <v>28</v>
      </c>
      <c r="U203" s="7">
        <v>3.0</v>
      </c>
      <c r="V203" s="7">
        <v>6.0</v>
      </c>
      <c r="W203" s="7">
        <v>5.0</v>
      </c>
    </row>
    <row r="204">
      <c r="A204" s="3">
        <v>46222.49653935185</v>
      </c>
      <c r="B204" s="1" t="s">
        <v>540</v>
      </c>
      <c r="C204" s="1" t="s">
        <v>62</v>
      </c>
      <c r="D204" s="1">
        <v>2.0</v>
      </c>
      <c r="E204" s="1" t="s">
        <v>52</v>
      </c>
      <c r="F204" s="4">
        <v>2.0</v>
      </c>
      <c r="G204" s="4">
        <v>0.0</v>
      </c>
      <c r="H204" s="4">
        <v>4.0</v>
      </c>
      <c r="I204" s="4">
        <v>0.0</v>
      </c>
      <c r="J204" s="1">
        <v>5.0</v>
      </c>
      <c r="K204" s="1">
        <v>1.0</v>
      </c>
      <c r="L204" s="1">
        <v>3.0</v>
      </c>
      <c r="M204" s="1">
        <v>4.0</v>
      </c>
      <c r="N204" s="1">
        <v>1.0</v>
      </c>
      <c r="O204" s="1">
        <v>0.0</v>
      </c>
      <c r="P204" s="1">
        <v>4.0</v>
      </c>
      <c r="Q204" s="1" t="s">
        <v>541</v>
      </c>
      <c r="R204" s="1"/>
      <c r="S204" s="1">
        <v>5246.0</v>
      </c>
      <c r="T204" s="1" t="s">
        <v>28</v>
      </c>
      <c r="U204" s="7">
        <v>8.0</v>
      </c>
      <c r="V204" s="7">
        <v>1.0</v>
      </c>
      <c r="W204" s="7">
        <v>15.0</v>
      </c>
    </row>
    <row r="205">
      <c r="A205" s="3">
        <v>46222.50644675926</v>
      </c>
      <c r="B205" s="1" t="s">
        <v>542</v>
      </c>
      <c r="C205" s="1" t="s">
        <v>286</v>
      </c>
      <c r="D205" s="1">
        <v>2.0</v>
      </c>
      <c r="E205" s="1" t="s">
        <v>184</v>
      </c>
      <c r="F205" s="4">
        <v>2.0</v>
      </c>
      <c r="G205" s="4">
        <v>1.0</v>
      </c>
      <c r="H205" s="4">
        <v>3.0</v>
      </c>
      <c r="I205" s="4">
        <v>0.0</v>
      </c>
      <c r="J205" s="1">
        <v>2.0</v>
      </c>
      <c r="K205" s="1">
        <v>1.0</v>
      </c>
      <c r="L205" s="1">
        <v>0.0</v>
      </c>
      <c r="M205" s="1">
        <v>3.0</v>
      </c>
      <c r="N205" s="1">
        <v>2.0</v>
      </c>
      <c r="O205" s="1">
        <v>1.0</v>
      </c>
      <c r="P205" s="1">
        <v>1.0</v>
      </c>
      <c r="Q205" s="1" t="s">
        <v>543</v>
      </c>
      <c r="R205" s="1"/>
      <c r="S205" s="1">
        <v>2487.0</v>
      </c>
      <c r="T205" s="1" t="s">
        <v>34</v>
      </c>
      <c r="U205" s="7">
        <v>4.0</v>
      </c>
      <c r="V205" s="7">
        <v>3.0</v>
      </c>
      <c r="W205" s="7">
        <v>9.0</v>
      </c>
    </row>
    <row r="206">
      <c r="A206" s="3">
        <v>46222.526041666664</v>
      </c>
      <c r="B206" s="1" t="s">
        <v>544</v>
      </c>
      <c r="C206" s="1" t="s">
        <v>48</v>
      </c>
      <c r="D206" s="1">
        <v>2.0</v>
      </c>
      <c r="E206" s="1" t="s">
        <v>49</v>
      </c>
      <c r="F206" s="4">
        <v>2.0</v>
      </c>
      <c r="G206" s="4">
        <v>2.0</v>
      </c>
      <c r="H206" s="4">
        <v>2.0</v>
      </c>
      <c r="I206" s="4">
        <v>0.0</v>
      </c>
      <c r="J206" s="1">
        <v>5.0</v>
      </c>
      <c r="K206" s="1">
        <v>-1.0</v>
      </c>
      <c r="L206" s="1">
        <v>2.0</v>
      </c>
      <c r="M206" s="1">
        <v>2.0</v>
      </c>
      <c r="N206" s="1">
        <v>3.0</v>
      </c>
      <c r="O206" s="1">
        <v>2.0</v>
      </c>
      <c r="P206" s="1">
        <v>2.0</v>
      </c>
      <c r="Q206" s="1"/>
      <c r="R206" s="1"/>
      <c r="S206" s="1">
        <v>66.0</v>
      </c>
      <c r="T206" s="1" t="s">
        <v>28</v>
      </c>
      <c r="U206" s="7">
        <v>4.0</v>
      </c>
      <c r="V206" s="7">
        <v>5.0</v>
      </c>
      <c r="W206" s="7">
        <v>7.0</v>
      </c>
    </row>
    <row r="207">
      <c r="A207" s="3">
        <v>46222.53057870371</v>
      </c>
      <c r="B207" s="1" t="s">
        <v>545</v>
      </c>
      <c r="C207" s="1" t="s">
        <v>284</v>
      </c>
      <c r="D207" s="1">
        <v>2.0</v>
      </c>
      <c r="E207" s="1" t="s">
        <v>184</v>
      </c>
      <c r="F207" s="4">
        <v>1.0</v>
      </c>
      <c r="G207" s="4">
        <v>4.0</v>
      </c>
      <c r="H207" s="4">
        <v>1.0</v>
      </c>
      <c r="I207" s="4">
        <v>0.0</v>
      </c>
      <c r="J207" s="1">
        <v>5.0</v>
      </c>
      <c r="K207" s="1">
        <v>1.0</v>
      </c>
      <c r="L207" s="1">
        <v>0.0</v>
      </c>
      <c r="M207" s="1">
        <v>2.0</v>
      </c>
      <c r="N207" s="1">
        <v>2.0</v>
      </c>
      <c r="O207" s="1">
        <v>2.0</v>
      </c>
      <c r="P207" s="1">
        <v>1.0</v>
      </c>
      <c r="Q207" s="1" t="s">
        <v>546</v>
      </c>
      <c r="R207" s="1" t="s">
        <v>547</v>
      </c>
      <c r="S207" s="1">
        <v>484.0</v>
      </c>
      <c r="T207" s="1" t="s">
        <v>34</v>
      </c>
      <c r="U207" s="7">
        <v>3.0</v>
      </c>
      <c r="V207" s="7">
        <v>4.0</v>
      </c>
      <c r="W207" s="7">
        <v>7.0</v>
      </c>
    </row>
    <row r="208">
      <c r="A208" s="3">
        <v>46222.534155092595</v>
      </c>
      <c r="B208" s="1" t="s">
        <v>548</v>
      </c>
      <c r="C208" s="1" t="s">
        <v>108</v>
      </c>
      <c r="D208" s="1">
        <v>2.0</v>
      </c>
      <c r="E208" s="1" t="s">
        <v>52</v>
      </c>
      <c r="F208" s="4">
        <v>0.0</v>
      </c>
      <c r="G208" s="4">
        <v>1.0</v>
      </c>
      <c r="H208" s="4">
        <v>1.0</v>
      </c>
      <c r="I208" s="4">
        <v>4.0</v>
      </c>
      <c r="J208" s="1">
        <v>2.0</v>
      </c>
      <c r="K208" s="1">
        <v>-2.0</v>
      </c>
      <c r="L208" s="1">
        <v>-2.0</v>
      </c>
      <c r="M208" s="1">
        <v>3.0</v>
      </c>
      <c r="N208" s="1">
        <v>3.0</v>
      </c>
      <c r="O208" s="1">
        <v>2.0</v>
      </c>
      <c r="P208" s="1">
        <v>1.0</v>
      </c>
      <c r="Q208" s="1"/>
      <c r="R208" s="1" t="s">
        <v>549</v>
      </c>
      <c r="S208" s="1">
        <v>120.0</v>
      </c>
      <c r="T208" s="1" t="s">
        <v>28</v>
      </c>
      <c r="U208" s="7">
        <v>4.0</v>
      </c>
      <c r="V208" s="7">
        <v>5.0</v>
      </c>
      <c r="W208" s="7">
        <v>7.0</v>
      </c>
    </row>
    <row r="209">
      <c r="A209" s="3">
        <v>46222.53600694444</v>
      </c>
      <c r="B209" s="1" t="s">
        <v>550</v>
      </c>
      <c r="C209" s="1" t="s">
        <v>179</v>
      </c>
      <c r="D209" s="1">
        <v>2.0</v>
      </c>
      <c r="E209" s="1" t="s">
        <v>49</v>
      </c>
      <c r="F209" s="4">
        <v>3.0</v>
      </c>
      <c r="G209" s="4">
        <v>1.0</v>
      </c>
      <c r="H209" s="4">
        <v>1.0</v>
      </c>
      <c r="I209" s="4">
        <v>1.0</v>
      </c>
      <c r="J209" s="1">
        <v>5.0</v>
      </c>
      <c r="K209" s="1">
        <v>-1.0</v>
      </c>
      <c r="L209" s="1">
        <v>2.0</v>
      </c>
      <c r="M209" s="1">
        <v>2.0</v>
      </c>
      <c r="N209" s="1">
        <v>3.0</v>
      </c>
      <c r="O209" s="1">
        <v>3.0</v>
      </c>
      <c r="P209" s="1">
        <v>1.0</v>
      </c>
      <c r="Q209" s="1"/>
      <c r="R209" s="1"/>
      <c r="S209" s="1">
        <v>111.0</v>
      </c>
      <c r="T209" s="1" t="s">
        <v>28</v>
      </c>
      <c r="U209" s="7">
        <v>3.0</v>
      </c>
      <c r="V209" s="7">
        <v>6.0</v>
      </c>
      <c r="W209" s="7">
        <v>5.0</v>
      </c>
    </row>
    <row r="210">
      <c r="A210" s="3">
        <v>46222.536516203705</v>
      </c>
      <c r="B210" s="1" t="s">
        <v>551</v>
      </c>
      <c r="C210" s="1" t="s">
        <v>96</v>
      </c>
      <c r="D210" s="1">
        <v>2.0</v>
      </c>
      <c r="E210" s="1" t="s">
        <v>90</v>
      </c>
      <c r="F210" s="4">
        <v>2.0</v>
      </c>
      <c r="G210" s="4">
        <v>2.0</v>
      </c>
      <c r="H210" s="4">
        <v>2.0</v>
      </c>
      <c r="I210" s="4">
        <v>0.0</v>
      </c>
      <c r="J210" s="1">
        <v>5.0</v>
      </c>
      <c r="K210" s="1">
        <v>0.0</v>
      </c>
      <c r="L210" s="1">
        <v>2.0</v>
      </c>
      <c r="M210" s="1">
        <v>3.0</v>
      </c>
      <c r="N210" s="1">
        <v>2.0</v>
      </c>
      <c r="O210" s="1">
        <v>2.0</v>
      </c>
      <c r="P210" s="1">
        <v>2.0</v>
      </c>
      <c r="Q210" s="1"/>
      <c r="R210" s="1"/>
      <c r="S210" s="1">
        <v>52.0</v>
      </c>
      <c r="T210" s="1" t="s">
        <v>28</v>
      </c>
      <c r="U210" s="7">
        <v>5.0</v>
      </c>
      <c r="V210" s="7">
        <v>4.0</v>
      </c>
      <c r="W210" s="7">
        <v>9.0</v>
      </c>
    </row>
    <row r="211">
      <c r="A211" s="3">
        <v>46222.53769675926</v>
      </c>
      <c r="B211" s="1" t="s">
        <v>552</v>
      </c>
      <c r="C211" s="1" t="s">
        <v>187</v>
      </c>
      <c r="D211" s="1">
        <v>2.0</v>
      </c>
      <c r="E211" s="1" t="s">
        <v>184</v>
      </c>
      <c r="F211" s="4">
        <v>3.0</v>
      </c>
      <c r="G211" s="4">
        <v>1.0</v>
      </c>
      <c r="H211" s="4">
        <v>2.0</v>
      </c>
      <c r="I211" s="4">
        <v>0.0</v>
      </c>
      <c r="J211" s="1">
        <v>4.0</v>
      </c>
      <c r="K211" s="1">
        <v>-1.0</v>
      </c>
      <c r="L211" s="1">
        <v>-1.0</v>
      </c>
      <c r="M211" s="1">
        <v>1.0</v>
      </c>
      <c r="N211" s="1">
        <v>3.0</v>
      </c>
      <c r="O211" s="1">
        <v>3.0</v>
      </c>
      <c r="P211" s="1">
        <v>1.0</v>
      </c>
      <c r="Q211" s="1"/>
      <c r="R211" s="1"/>
      <c r="S211" s="1">
        <v>101.0</v>
      </c>
      <c r="T211" s="1" t="s">
        <v>28</v>
      </c>
      <c r="U211" s="7">
        <v>2.0</v>
      </c>
      <c r="V211" s="7">
        <v>6.0</v>
      </c>
      <c r="W211" s="7">
        <v>4.0</v>
      </c>
    </row>
    <row r="212">
      <c r="A212" s="3">
        <v>46222.54010416667</v>
      </c>
      <c r="B212" s="1" t="s">
        <v>553</v>
      </c>
      <c r="C212" s="1" t="s">
        <v>323</v>
      </c>
      <c r="D212" s="1">
        <v>2.0</v>
      </c>
      <c r="E212" s="1" t="s">
        <v>192</v>
      </c>
      <c r="F212" s="4">
        <v>4.0</v>
      </c>
      <c r="G212" s="4">
        <v>1.0</v>
      </c>
      <c r="H212" s="4">
        <v>1.0</v>
      </c>
      <c r="I212" s="4">
        <v>0.0</v>
      </c>
      <c r="J212" s="1">
        <v>4.0</v>
      </c>
      <c r="K212" s="1">
        <v>0.0</v>
      </c>
      <c r="L212" s="1">
        <v>0.0</v>
      </c>
      <c r="M212" s="1">
        <v>2.0</v>
      </c>
      <c r="N212" s="1">
        <v>2.0</v>
      </c>
      <c r="O212" s="1">
        <v>2.0</v>
      </c>
      <c r="P212" s="1">
        <v>2.0</v>
      </c>
      <c r="Q212" s="1"/>
      <c r="R212" s="1"/>
      <c r="S212" s="1">
        <v>35.0</v>
      </c>
      <c r="T212" s="1" t="s">
        <v>34</v>
      </c>
      <c r="U212" s="7">
        <v>4.0</v>
      </c>
      <c r="V212" s="7">
        <v>4.0</v>
      </c>
      <c r="W212" s="7">
        <v>8.0</v>
      </c>
    </row>
    <row r="213">
      <c r="A213" s="3">
        <v>46222.544652777775</v>
      </c>
      <c r="B213" s="1" t="s">
        <v>554</v>
      </c>
      <c r="C213" s="1" t="s">
        <v>194</v>
      </c>
      <c r="D213" s="1">
        <v>2.0</v>
      </c>
      <c r="E213" s="1" t="s">
        <v>184</v>
      </c>
      <c r="F213" s="4">
        <v>0.0</v>
      </c>
      <c r="G213" s="4">
        <v>4.0</v>
      </c>
      <c r="H213" s="4">
        <v>2.0</v>
      </c>
      <c r="I213" s="4">
        <v>0.0</v>
      </c>
      <c r="J213" s="1">
        <v>7.0</v>
      </c>
      <c r="K213" s="1">
        <v>3.0</v>
      </c>
      <c r="L213" s="1">
        <v>0.0</v>
      </c>
      <c r="M213" s="1">
        <v>2.0</v>
      </c>
      <c r="N213" s="1">
        <v>3.0</v>
      </c>
      <c r="O213" s="1">
        <v>2.0</v>
      </c>
      <c r="P213" s="1">
        <v>2.0</v>
      </c>
      <c r="Q213" s="1"/>
      <c r="R213" s="1"/>
      <c r="S213" s="1">
        <v>48.0</v>
      </c>
      <c r="T213" s="1" t="s">
        <v>28</v>
      </c>
      <c r="U213" s="7">
        <v>4.0</v>
      </c>
      <c r="V213" s="7">
        <v>5.0</v>
      </c>
      <c r="W213" s="7">
        <v>7.0</v>
      </c>
    </row>
    <row r="214">
      <c r="A214" s="3">
        <v>46222.555613425924</v>
      </c>
      <c r="B214" s="1" t="s">
        <v>555</v>
      </c>
      <c r="C214" s="1" t="s">
        <v>183</v>
      </c>
      <c r="D214" s="1">
        <v>2.0</v>
      </c>
      <c r="E214" s="1" t="s">
        <v>184</v>
      </c>
      <c r="F214" s="4">
        <v>3.0</v>
      </c>
      <c r="G214" s="4">
        <v>1.0</v>
      </c>
      <c r="H214" s="4">
        <v>2.0</v>
      </c>
      <c r="I214" s="4">
        <v>0.0</v>
      </c>
      <c r="J214" s="1">
        <v>3.0</v>
      </c>
      <c r="K214" s="1">
        <v>-1.0</v>
      </c>
      <c r="L214" s="1">
        <v>-1.0</v>
      </c>
      <c r="M214" s="1">
        <v>3.0</v>
      </c>
      <c r="N214" s="1">
        <v>2.0</v>
      </c>
      <c r="O214" s="1">
        <v>2.0</v>
      </c>
      <c r="P214" s="1">
        <v>1.0</v>
      </c>
      <c r="Q214" s="1"/>
      <c r="R214" s="1"/>
      <c r="S214" s="1">
        <v>159.0</v>
      </c>
      <c r="T214" s="1" t="s">
        <v>34</v>
      </c>
      <c r="U214" s="7">
        <v>4.0</v>
      </c>
      <c r="V214" s="7">
        <v>4.0</v>
      </c>
      <c r="W214" s="7">
        <v>8.0</v>
      </c>
    </row>
    <row r="215">
      <c r="A215" s="3">
        <v>46222.579733796294</v>
      </c>
      <c r="B215" s="1" t="s">
        <v>556</v>
      </c>
      <c r="C215" s="1" t="s">
        <v>557</v>
      </c>
      <c r="D215" s="1">
        <v>2.0</v>
      </c>
      <c r="E215" s="1" t="s">
        <v>192</v>
      </c>
      <c r="F215" s="4">
        <v>1.0</v>
      </c>
      <c r="G215" s="4">
        <v>3.0</v>
      </c>
      <c r="H215" s="4">
        <v>2.0</v>
      </c>
      <c r="I215" s="4">
        <v>0.0</v>
      </c>
      <c r="J215" s="1">
        <v>7.0</v>
      </c>
      <c r="K215" s="1">
        <v>2.0</v>
      </c>
      <c r="L215" s="1">
        <v>-1.0</v>
      </c>
      <c r="M215" s="1">
        <v>1.0</v>
      </c>
      <c r="N215" s="1">
        <v>2.0</v>
      </c>
      <c r="O215" s="1">
        <v>2.0</v>
      </c>
      <c r="P215" s="1">
        <v>1.0</v>
      </c>
      <c r="Q215" s="1"/>
      <c r="R215" s="1"/>
      <c r="S215" s="1">
        <v>10489.0</v>
      </c>
      <c r="T215" s="1" t="s">
        <v>34</v>
      </c>
      <c r="U215" s="7">
        <v>2.0</v>
      </c>
      <c r="V215" s="7">
        <v>4.0</v>
      </c>
      <c r="W215" s="7">
        <v>6.0</v>
      </c>
    </row>
    <row r="216">
      <c r="A216" s="3">
        <v>46222.57980324074</v>
      </c>
      <c r="B216" s="1" t="s">
        <v>558</v>
      </c>
      <c r="C216" s="1" t="s">
        <v>469</v>
      </c>
      <c r="D216" s="1">
        <v>2.0</v>
      </c>
      <c r="E216" s="1" t="s">
        <v>184</v>
      </c>
      <c r="F216" s="4">
        <v>1.0</v>
      </c>
      <c r="G216" s="4">
        <v>2.0</v>
      </c>
      <c r="H216" s="4">
        <v>3.0</v>
      </c>
      <c r="I216" s="4">
        <v>0.0</v>
      </c>
      <c r="J216" s="1">
        <v>5.0</v>
      </c>
      <c r="K216" s="1">
        <v>2.0</v>
      </c>
      <c r="L216" s="1">
        <v>-2.0</v>
      </c>
      <c r="M216" s="1">
        <v>2.0</v>
      </c>
      <c r="N216" s="1">
        <v>2.0</v>
      </c>
      <c r="O216" s="1">
        <v>3.0</v>
      </c>
      <c r="P216" s="1">
        <v>1.0</v>
      </c>
      <c r="Q216" s="1" t="s">
        <v>559</v>
      </c>
      <c r="R216" s="1"/>
      <c r="S216" s="1">
        <v>1328.0</v>
      </c>
      <c r="T216" s="1" t="s">
        <v>34</v>
      </c>
      <c r="U216" s="7">
        <v>3.0</v>
      </c>
      <c r="V216" s="7">
        <v>5.0</v>
      </c>
      <c r="W216" s="7">
        <v>6.0</v>
      </c>
    </row>
    <row r="217">
      <c r="A217" s="3">
        <v>46222.59365740741</v>
      </c>
      <c r="B217" s="1" t="s">
        <v>560</v>
      </c>
      <c r="C217" s="1" t="s">
        <v>140</v>
      </c>
      <c r="D217" s="1">
        <v>2.0</v>
      </c>
      <c r="E217" s="1" t="s">
        <v>90</v>
      </c>
      <c r="F217" s="4">
        <v>1.0</v>
      </c>
      <c r="G217" s="4">
        <v>2.0</v>
      </c>
      <c r="H217" s="4">
        <v>1.0</v>
      </c>
      <c r="I217" s="4">
        <v>2.0</v>
      </c>
      <c r="J217" s="1">
        <v>4.0</v>
      </c>
      <c r="K217" s="1">
        <v>2.0</v>
      </c>
      <c r="L217" s="1">
        <v>-3.0</v>
      </c>
      <c r="M217" s="1">
        <v>0.0</v>
      </c>
      <c r="N217" s="1">
        <v>4.0</v>
      </c>
      <c r="O217" s="1">
        <v>3.0</v>
      </c>
      <c r="P217" s="1">
        <v>0.0</v>
      </c>
      <c r="Q217" s="1" t="s">
        <v>561</v>
      </c>
      <c r="R217" s="1"/>
      <c r="S217" s="1">
        <v>1362.0</v>
      </c>
      <c r="T217" s="1" t="s">
        <v>28</v>
      </c>
      <c r="U217" s="7">
        <v>0.0</v>
      </c>
      <c r="V217" s="7">
        <v>7.0</v>
      </c>
      <c r="W217" s="7">
        <v>1.0</v>
      </c>
    </row>
    <row r="218">
      <c r="A218" s="3">
        <v>46222.60450231482</v>
      </c>
      <c r="B218" s="1" t="s">
        <v>562</v>
      </c>
      <c r="C218" s="1" t="s">
        <v>246</v>
      </c>
      <c r="D218" s="1">
        <v>2.0</v>
      </c>
      <c r="E218" s="1" t="s">
        <v>184</v>
      </c>
      <c r="F218" s="4">
        <v>1.0</v>
      </c>
      <c r="G218" s="4">
        <v>4.0</v>
      </c>
      <c r="H218" s="4">
        <v>1.0</v>
      </c>
      <c r="I218" s="4">
        <v>0.0</v>
      </c>
      <c r="J218" s="1">
        <v>5.0</v>
      </c>
      <c r="K218" s="1">
        <v>1.0</v>
      </c>
      <c r="L218" s="1">
        <v>-1.0</v>
      </c>
      <c r="M218" s="1">
        <v>1.0</v>
      </c>
      <c r="N218" s="1">
        <v>4.0</v>
      </c>
      <c r="O218" s="1">
        <v>4.0</v>
      </c>
      <c r="P218" s="1">
        <v>1.0</v>
      </c>
      <c r="Q218" s="1" t="s">
        <v>563</v>
      </c>
      <c r="R218" s="1"/>
      <c r="S218" s="1">
        <v>179.0</v>
      </c>
      <c r="T218" s="1" t="s">
        <v>28</v>
      </c>
      <c r="U218" s="7">
        <v>2.0</v>
      </c>
      <c r="V218" s="7">
        <v>8.0</v>
      </c>
      <c r="W218" s="7">
        <v>2.0</v>
      </c>
    </row>
    <row r="219">
      <c r="A219" s="3">
        <v>46222.60859953704</v>
      </c>
      <c r="B219" s="1" t="s">
        <v>564</v>
      </c>
      <c r="C219" s="1" t="s">
        <v>124</v>
      </c>
      <c r="D219" s="1">
        <v>1.0</v>
      </c>
      <c r="E219" s="1" t="s">
        <v>102</v>
      </c>
      <c r="F219" s="4">
        <v>3.0</v>
      </c>
      <c r="G219" s="4">
        <v>1.0</v>
      </c>
      <c r="H219" s="4">
        <v>2.0</v>
      </c>
      <c r="I219" s="4">
        <v>0.0</v>
      </c>
      <c r="J219" s="1">
        <v>4.0</v>
      </c>
      <c r="K219" s="1">
        <v>1.0</v>
      </c>
      <c r="L219" s="1">
        <v>-2.0</v>
      </c>
      <c r="M219" s="1">
        <v>2.0</v>
      </c>
      <c r="N219" s="1">
        <v>3.0</v>
      </c>
      <c r="O219" s="1">
        <v>3.0</v>
      </c>
      <c r="P219" s="1">
        <v>2.0</v>
      </c>
      <c r="Q219" s="1" t="s">
        <v>565</v>
      </c>
      <c r="R219" s="1" t="s">
        <v>566</v>
      </c>
      <c r="S219" s="1">
        <v>176.0</v>
      </c>
      <c r="T219" s="1" t="s">
        <v>34</v>
      </c>
      <c r="U219" s="7">
        <v>4.0</v>
      </c>
      <c r="V219" s="7">
        <v>6.0</v>
      </c>
      <c r="W219" s="7">
        <v>6.0</v>
      </c>
    </row>
    <row r="220">
      <c r="A220" s="3">
        <v>46222.61355324074</v>
      </c>
      <c r="B220" s="1" t="s">
        <v>567</v>
      </c>
      <c r="C220" s="1" t="s">
        <v>387</v>
      </c>
      <c r="D220" s="1">
        <v>2.0</v>
      </c>
      <c r="E220" s="1" t="s">
        <v>192</v>
      </c>
      <c r="F220" s="4">
        <v>1.0</v>
      </c>
      <c r="G220" s="4">
        <v>3.0</v>
      </c>
      <c r="H220" s="4">
        <v>2.0</v>
      </c>
      <c r="I220" s="4">
        <v>0.0</v>
      </c>
      <c r="J220" s="1">
        <v>5.0</v>
      </c>
      <c r="K220" s="1">
        <v>2.0</v>
      </c>
      <c r="L220" s="1">
        <v>-2.0</v>
      </c>
      <c r="M220" s="1">
        <v>2.0</v>
      </c>
      <c r="N220" s="1">
        <v>4.0</v>
      </c>
      <c r="O220" s="1">
        <v>3.0</v>
      </c>
      <c r="P220" s="1">
        <v>2.0</v>
      </c>
      <c r="Q220" s="1" t="s">
        <v>568</v>
      </c>
      <c r="R220" s="1"/>
      <c r="S220" s="1">
        <v>610.0</v>
      </c>
      <c r="T220" s="1" t="s">
        <v>28</v>
      </c>
      <c r="U220" s="7">
        <v>4.0</v>
      </c>
      <c r="V220" s="7">
        <v>7.0</v>
      </c>
      <c r="W220" s="7">
        <v>5.0</v>
      </c>
    </row>
    <row r="221">
      <c r="A221" s="3">
        <v>46222.63011574074</v>
      </c>
      <c r="B221" s="1" t="s">
        <v>569</v>
      </c>
      <c r="C221" s="1" t="s">
        <v>384</v>
      </c>
      <c r="D221" s="1">
        <v>2.0</v>
      </c>
      <c r="E221" s="1" t="s">
        <v>184</v>
      </c>
      <c r="F221" s="4">
        <v>2.0</v>
      </c>
      <c r="G221" s="4">
        <v>1.0</v>
      </c>
      <c r="H221" s="4">
        <v>3.0</v>
      </c>
      <c r="I221" s="4">
        <v>0.0</v>
      </c>
      <c r="J221" s="1">
        <v>7.0</v>
      </c>
      <c r="K221" s="1">
        <v>0.0</v>
      </c>
      <c r="L221" s="1">
        <v>0.0</v>
      </c>
      <c r="M221" s="1">
        <v>2.0</v>
      </c>
      <c r="N221" s="1">
        <v>3.0</v>
      </c>
      <c r="O221" s="1">
        <v>3.0</v>
      </c>
      <c r="P221" s="1">
        <v>1.0</v>
      </c>
      <c r="Q221" s="1"/>
      <c r="R221" s="1"/>
      <c r="S221" s="1">
        <v>46.0</v>
      </c>
      <c r="T221" s="1" t="s">
        <v>34</v>
      </c>
      <c r="U221" s="7">
        <v>3.0</v>
      </c>
      <c r="V221" s="7">
        <v>6.0</v>
      </c>
      <c r="W221" s="7">
        <v>5.0</v>
      </c>
    </row>
    <row r="222">
      <c r="A222" s="3">
        <v>46222.6322337963</v>
      </c>
      <c r="B222" s="1" t="s">
        <v>570</v>
      </c>
      <c r="C222" s="1" t="s">
        <v>157</v>
      </c>
      <c r="D222" s="1">
        <v>2.0</v>
      </c>
      <c r="E222" s="1" t="s">
        <v>102</v>
      </c>
      <c r="F222" s="4">
        <v>1.0</v>
      </c>
      <c r="G222" s="4">
        <v>1.0</v>
      </c>
      <c r="H222" s="4">
        <v>2.0</v>
      </c>
      <c r="I222" s="4">
        <v>2.0</v>
      </c>
      <c r="J222" s="1">
        <v>5.0</v>
      </c>
      <c r="K222" s="1">
        <v>1.0</v>
      </c>
      <c r="L222" s="1">
        <v>0.0</v>
      </c>
      <c r="M222" s="1">
        <v>3.0</v>
      </c>
      <c r="N222" s="1">
        <v>3.0</v>
      </c>
      <c r="O222" s="1">
        <v>3.0</v>
      </c>
      <c r="P222" s="1">
        <v>1.0</v>
      </c>
      <c r="Q222" s="1"/>
      <c r="R222" s="1"/>
      <c r="S222" s="1">
        <v>176.0</v>
      </c>
      <c r="T222" s="1" t="s">
        <v>34</v>
      </c>
      <c r="U222" s="7">
        <v>4.0</v>
      </c>
      <c r="V222" s="7">
        <v>6.0</v>
      </c>
      <c r="W222" s="7">
        <v>6.0</v>
      </c>
    </row>
    <row r="223">
      <c r="A223" s="3">
        <v>46222.67875</v>
      </c>
      <c r="B223" s="1" t="s">
        <v>571</v>
      </c>
      <c r="C223" s="1" t="s">
        <v>56</v>
      </c>
      <c r="D223" s="1">
        <v>2.0</v>
      </c>
      <c r="E223" s="1" t="s">
        <v>49</v>
      </c>
      <c r="F223" s="4">
        <v>1.0</v>
      </c>
      <c r="G223" s="4">
        <v>3.0</v>
      </c>
      <c r="H223" s="4">
        <v>1.0</v>
      </c>
      <c r="I223" s="4">
        <v>1.0</v>
      </c>
      <c r="J223" s="1">
        <v>5.0</v>
      </c>
      <c r="K223" s="1">
        <v>-1.0</v>
      </c>
      <c r="L223" s="1">
        <v>-1.0</v>
      </c>
      <c r="M223" s="1">
        <v>2.0</v>
      </c>
      <c r="N223" s="1">
        <v>3.0</v>
      </c>
      <c r="O223" s="1">
        <v>2.0</v>
      </c>
      <c r="P223" s="1">
        <v>2.0</v>
      </c>
      <c r="Q223" s="1"/>
      <c r="R223" s="1"/>
      <c r="S223" s="1">
        <v>109.0</v>
      </c>
      <c r="T223" s="1" t="s">
        <v>34</v>
      </c>
      <c r="U223" s="7">
        <v>4.0</v>
      </c>
      <c r="V223" s="7">
        <v>5.0</v>
      </c>
      <c r="W223" s="7">
        <v>7.0</v>
      </c>
    </row>
    <row r="224">
      <c r="A224" s="3">
        <v>46222.698599537034</v>
      </c>
      <c r="B224" s="1" t="s">
        <v>572</v>
      </c>
      <c r="C224" s="1" t="s">
        <v>211</v>
      </c>
      <c r="D224" s="1">
        <v>2.0</v>
      </c>
      <c r="E224" s="1" t="s">
        <v>184</v>
      </c>
      <c r="F224" s="4">
        <v>1.0</v>
      </c>
      <c r="G224" s="4">
        <v>2.0</v>
      </c>
      <c r="H224" s="4">
        <v>3.0</v>
      </c>
      <c r="I224" s="4">
        <v>0.0</v>
      </c>
      <c r="J224" s="1">
        <v>7.0</v>
      </c>
      <c r="K224" s="1">
        <v>-1.0</v>
      </c>
      <c r="L224" s="1">
        <v>-1.0</v>
      </c>
      <c r="M224" s="1">
        <v>0.0</v>
      </c>
      <c r="N224" s="1">
        <v>4.0</v>
      </c>
      <c r="O224" s="1">
        <v>3.0</v>
      </c>
      <c r="P224" s="1">
        <v>0.0</v>
      </c>
      <c r="Q224" s="1" t="s">
        <v>573</v>
      </c>
      <c r="R224" s="1"/>
      <c r="S224" s="1">
        <v>155.0</v>
      </c>
      <c r="T224" s="1" t="s">
        <v>28</v>
      </c>
      <c r="U224" s="7">
        <v>0.0</v>
      </c>
      <c r="V224" s="7">
        <v>7.0</v>
      </c>
      <c r="W224" s="7">
        <v>1.0</v>
      </c>
    </row>
    <row r="225">
      <c r="A225" s="3">
        <v>46222.70410879629</v>
      </c>
      <c r="B225" s="1" t="s">
        <v>574</v>
      </c>
      <c r="C225" s="1" t="s">
        <v>295</v>
      </c>
      <c r="D225" s="1">
        <v>2.0</v>
      </c>
      <c r="E225" s="1" t="s">
        <v>192</v>
      </c>
      <c r="F225" s="4">
        <v>1.0</v>
      </c>
      <c r="G225" s="4">
        <v>3.0</v>
      </c>
      <c r="H225" s="4">
        <v>2.0</v>
      </c>
      <c r="I225" s="4">
        <v>0.0</v>
      </c>
      <c r="J225" s="1">
        <v>6.0</v>
      </c>
      <c r="K225" s="1">
        <v>1.0</v>
      </c>
      <c r="L225" s="1">
        <v>2.0</v>
      </c>
      <c r="M225" s="1">
        <v>0.0</v>
      </c>
      <c r="N225" s="1">
        <v>3.0</v>
      </c>
      <c r="O225" s="1">
        <v>3.0</v>
      </c>
      <c r="P225" s="1">
        <v>0.0</v>
      </c>
      <c r="Q225" s="1"/>
      <c r="R225" s="1"/>
      <c r="S225" s="1">
        <v>86.0</v>
      </c>
      <c r="T225" s="1" t="s">
        <v>34</v>
      </c>
      <c r="U225" s="7">
        <v>0.0</v>
      </c>
      <c r="V225" s="7">
        <v>6.0</v>
      </c>
      <c r="W225" s="7">
        <v>2.0</v>
      </c>
    </row>
    <row r="226">
      <c r="A226" s="3">
        <v>46222.73774305556</v>
      </c>
      <c r="B226" s="1" t="s">
        <v>575</v>
      </c>
      <c r="C226" s="1" t="s">
        <v>59</v>
      </c>
      <c r="D226" s="1">
        <v>2.0</v>
      </c>
      <c r="E226" s="1" t="s">
        <v>52</v>
      </c>
      <c r="F226" s="4">
        <v>2.0</v>
      </c>
      <c r="G226" s="4">
        <v>1.0</v>
      </c>
      <c r="H226" s="4">
        <v>3.0</v>
      </c>
      <c r="I226" s="4">
        <v>0.0</v>
      </c>
      <c r="J226" s="1">
        <v>5.0</v>
      </c>
      <c r="K226" s="1">
        <v>1.0</v>
      </c>
      <c r="L226" s="1">
        <v>-1.0</v>
      </c>
      <c r="M226" s="1">
        <v>2.0</v>
      </c>
      <c r="N226" s="1">
        <v>3.0</v>
      </c>
      <c r="O226" s="1">
        <v>3.0</v>
      </c>
      <c r="P226" s="1">
        <v>1.0</v>
      </c>
      <c r="Q226" s="1" t="s">
        <v>576</v>
      </c>
      <c r="R226" s="1"/>
      <c r="S226" s="1">
        <v>95.0</v>
      </c>
      <c r="T226" s="1" t="s">
        <v>34</v>
      </c>
      <c r="U226" s="7">
        <v>3.0</v>
      </c>
      <c r="V226" s="7">
        <v>6.0</v>
      </c>
      <c r="W226" s="7">
        <v>5.0</v>
      </c>
    </row>
    <row r="227">
      <c r="A227" s="3">
        <v>46222.76971064815</v>
      </c>
      <c r="B227" s="1" t="s">
        <v>577</v>
      </c>
      <c r="C227" s="1" t="s">
        <v>84</v>
      </c>
      <c r="D227" s="1">
        <v>2.0</v>
      </c>
      <c r="E227" s="1" t="s">
        <v>85</v>
      </c>
      <c r="F227" s="4">
        <v>2.0</v>
      </c>
      <c r="G227" s="4">
        <v>1.0</v>
      </c>
      <c r="H227" s="4">
        <v>2.0</v>
      </c>
      <c r="I227" s="4">
        <v>1.0</v>
      </c>
      <c r="J227" s="1">
        <v>4.0</v>
      </c>
      <c r="K227" s="1">
        <v>1.0</v>
      </c>
      <c r="L227" s="1">
        <v>0.0</v>
      </c>
      <c r="M227" s="1">
        <v>3.0</v>
      </c>
      <c r="N227" s="1">
        <v>2.0</v>
      </c>
      <c r="O227" s="1">
        <v>2.0</v>
      </c>
      <c r="P227" s="1">
        <v>3.0</v>
      </c>
      <c r="Q227" s="1" t="s">
        <v>578</v>
      </c>
      <c r="R227" s="1" t="s">
        <v>579</v>
      </c>
      <c r="S227" s="1">
        <v>1808.0</v>
      </c>
      <c r="T227" s="1" t="s">
        <v>28</v>
      </c>
      <c r="U227" s="7">
        <v>6.0</v>
      </c>
      <c r="V227" s="7">
        <v>4.0</v>
      </c>
      <c r="W227" s="7">
        <v>10.0</v>
      </c>
    </row>
    <row r="228">
      <c r="A228" s="3">
        <v>46222.86788194445</v>
      </c>
      <c r="B228" s="1" t="s">
        <v>580</v>
      </c>
      <c r="C228" s="1" t="s">
        <v>30</v>
      </c>
      <c r="D228" s="1">
        <v>2.0</v>
      </c>
      <c r="E228" s="1" t="s">
        <v>31</v>
      </c>
      <c r="F228" s="4">
        <v>2.0</v>
      </c>
      <c r="G228" s="4">
        <v>2.0</v>
      </c>
      <c r="H228" s="4">
        <v>2.0</v>
      </c>
      <c r="I228" s="4">
        <v>0.0</v>
      </c>
      <c r="J228" s="1">
        <v>5.0</v>
      </c>
      <c r="K228" s="1">
        <v>-1.0</v>
      </c>
      <c r="L228" s="1">
        <v>1.0</v>
      </c>
      <c r="M228" s="1">
        <v>3.0</v>
      </c>
      <c r="N228" s="1">
        <v>3.0</v>
      </c>
      <c r="O228" s="1">
        <v>2.0</v>
      </c>
      <c r="P228" s="1">
        <v>2.0</v>
      </c>
      <c r="Q228" s="1" t="s">
        <v>581</v>
      </c>
      <c r="R228" s="1" t="s">
        <v>582</v>
      </c>
      <c r="S228" s="1">
        <v>131.0</v>
      </c>
      <c r="T228" s="1" t="s">
        <v>34</v>
      </c>
      <c r="U228" s="7">
        <v>5.0</v>
      </c>
      <c r="V228" s="7">
        <v>5.0</v>
      </c>
      <c r="W228" s="7">
        <v>8.0</v>
      </c>
    </row>
    <row r="229">
      <c r="A229" s="3">
        <v>46222.98611111111</v>
      </c>
      <c r="B229" s="1" t="s">
        <v>583</v>
      </c>
      <c r="C229" s="1" t="s">
        <v>106</v>
      </c>
      <c r="D229" s="1">
        <v>2.0</v>
      </c>
      <c r="E229" s="1" t="s">
        <v>90</v>
      </c>
      <c r="F229" s="4">
        <v>3.0</v>
      </c>
      <c r="G229" s="4">
        <v>1.0</v>
      </c>
      <c r="H229" s="4">
        <v>2.0</v>
      </c>
      <c r="I229" s="4">
        <v>0.0</v>
      </c>
      <c r="J229" s="1">
        <v>6.0</v>
      </c>
      <c r="K229" s="1">
        <v>1.0</v>
      </c>
      <c r="L229" s="1">
        <v>2.0</v>
      </c>
      <c r="M229" s="1">
        <v>2.0</v>
      </c>
      <c r="N229" s="1">
        <v>2.0</v>
      </c>
      <c r="O229" s="1">
        <v>3.0</v>
      </c>
      <c r="P229" s="1">
        <v>1.0</v>
      </c>
      <c r="Q229" s="1"/>
      <c r="R229" s="1"/>
      <c r="S229" s="1">
        <v>88.0</v>
      </c>
      <c r="T229" s="1" t="s">
        <v>34</v>
      </c>
      <c r="U229" s="7">
        <v>3.0</v>
      </c>
      <c r="V229" s="7">
        <v>5.0</v>
      </c>
      <c r="W229" s="7">
        <v>6.0</v>
      </c>
    </row>
    <row r="230">
      <c r="A230" s="3">
        <v>46223.170277777775</v>
      </c>
      <c r="B230" s="1" t="s">
        <v>584</v>
      </c>
      <c r="C230" s="1" t="s">
        <v>228</v>
      </c>
      <c r="D230" s="1">
        <v>2.0</v>
      </c>
      <c r="E230" s="1" t="s">
        <v>192</v>
      </c>
      <c r="F230" s="4">
        <v>0.0</v>
      </c>
      <c r="G230" s="4">
        <v>3.0</v>
      </c>
      <c r="H230" s="4">
        <v>3.0</v>
      </c>
      <c r="I230" s="4">
        <v>0.0</v>
      </c>
      <c r="J230" s="1">
        <v>4.0</v>
      </c>
      <c r="K230" s="1">
        <v>-3.0</v>
      </c>
      <c r="L230" s="1">
        <v>0.0</v>
      </c>
      <c r="M230" s="1">
        <v>3.0</v>
      </c>
      <c r="N230" s="1">
        <v>2.0</v>
      </c>
      <c r="O230" s="1">
        <v>1.0</v>
      </c>
      <c r="P230" s="1">
        <v>1.0</v>
      </c>
      <c r="Q230" s="1" t="s">
        <v>585</v>
      </c>
      <c r="R230" s="1"/>
      <c r="S230" s="1">
        <v>154.0</v>
      </c>
      <c r="T230" s="1" t="s">
        <v>28</v>
      </c>
      <c r="U230" s="7">
        <v>4.0</v>
      </c>
      <c r="V230" s="7">
        <v>3.0</v>
      </c>
      <c r="W230" s="7">
        <v>9.0</v>
      </c>
    </row>
    <row r="231">
      <c r="A231" s="3">
        <v>46223.28337962963</v>
      </c>
      <c r="B231" s="1" t="s">
        <v>586</v>
      </c>
      <c r="C231" s="1" t="s">
        <v>206</v>
      </c>
      <c r="D231" s="1">
        <v>2.0</v>
      </c>
      <c r="E231" s="1" t="s">
        <v>192</v>
      </c>
      <c r="F231" s="4">
        <v>3.0</v>
      </c>
      <c r="G231" s="4">
        <v>0.0</v>
      </c>
      <c r="H231" s="4">
        <v>0.0</v>
      </c>
      <c r="I231" s="4">
        <v>3.0</v>
      </c>
      <c r="J231" s="1">
        <v>1.0</v>
      </c>
      <c r="K231" s="1">
        <v>-2.0</v>
      </c>
      <c r="L231" s="1">
        <v>2.0</v>
      </c>
      <c r="M231" s="1">
        <v>4.0</v>
      </c>
      <c r="N231" s="1">
        <v>1.0</v>
      </c>
      <c r="O231" s="1">
        <v>1.0</v>
      </c>
      <c r="P231" s="1">
        <v>4.0</v>
      </c>
      <c r="Q231" s="1"/>
      <c r="R231" s="1"/>
      <c r="S231" s="1">
        <v>45.0</v>
      </c>
      <c r="T231" s="1" t="s">
        <v>28</v>
      </c>
      <c r="U231" s="7">
        <v>8.0</v>
      </c>
      <c r="V231" s="7">
        <v>2.0</v>
      </c>
      <c r="W231" s="7">
        <v>14.0</v>
      </c>
    </row>
    <row r="232">
      <c r="A232" s="3">
        <v>46223.362905092596</v>
      </c>
      <c r="B232" s="1" t="s">
        <v>587</v>
      </c>
      <c r="C232" s="1" t="s">
        <v>249</v>
      </c>
      <c r="D232" s="1">
        <v>2.0</v>
      </c>
      <c r="E232" s="1" t="s">
        <v>184</v>
      </c>
      <c r="F232" s="4">
        <v>1.0</v>
      </c>
      <c r="G232" s="4">
        <v>2.0</v>
      </c>
      <c r="H232" s="4">
        <v>3.0</v>
      </c>
      <c r="I232" s="4">
        <v>0.0</v>
      </c>
      <c r="J232" s="1">
        <v>3.0</v>
      </c>
      <c r="K232" s="1">
        <v>0.0</v>
      </c>
      <c r="L232" s="1">
        <v>1.0</v>
      </c>
      <c r="M232" s="1">
        <v>1.0</v>
      </c>
      <c r="N232" s="1">
        <v>3.0</v>
      </c>
      <c r="O232" s="1">
        <v>2.0</v>
      </c>
      <c r="P232" s="1">
        <v>1.0</v>
      </c>
      <c r="Q232" s="1"/>
      <c r="R232" s="1"/>
      <c r="S232" s="1">
        <v>82.0</v>
      </c>
      <c r="T232" s="1" t="s">
        <v>28</v>
      </c>
      <c r="U232" s="7">
        <v>2.0</v>
      </c>
      <c r="V232" s="7">
        <v>5.0</v>
      </c>
      <c r="W232" s="7">
        <v>5.0</v>
      </c>
    </row>
    <row r="233">
      <c r="A233" s="3">
        <v>46223.39024305555</v>
      </c>
      <c r="B233" s="1" t="s">
        <v>588</v>
      </c>
      <c r="C233" s="1" t="s">
        <v>446</v>
      </c>
      <c r="D233" s="1">
        <v>2.0</v>
      </c>
      <c r="E233" s="1" t="s">
        <v>26</v>
      </c>
      <c r="F233" s="4">
        <v>1.0</v>
      </c>
      <c r="G233" s="4">
        <v>2.0</v>
      </c>
      <c r="H233" s="4">
        <v>3.0</v>
      </c>
      <c r="I233" s="4">
        <v>0.0</v>
      </c>
      <c r="J233" s="1">
        <v>6.0</v>
      </c>
      <c r="K233" s="1">
        <v>2.0</v>
      </c>
      <c r="L233" s="1">
        <v>1.0</v>
      </c>
      <c r="M233" s="1">
        <v>0.0</v>
      </c>
      <c r="N233" s="1">
        <v>4.0</v>
      </c>
      <c r="O233" s="1">
        <v>4.0</v>
      </c>
      <c r="P233" s="1">
        <v>1.0</v>
      </c>
      <c r="Q233" s="1" t="s">
        <v>589</v>
      </c>
      <c r="R233" s="1"/>
      <c r="S233" s="1">
        <v>445.0</v>
      </c>
      <c r="T233" s="1" t="s">
        <v>28</v>
      </c>
      <c r="U233" s="7">
        <v>1.0</v>
      </c>
      <c r="V233" s="7">
        <v>8.0</v>
      </c>
      <c r="W233" s="7">
        <v>1.0</v>
      </c>
    </row>
    <row r="234">
      <c r="A234" s="3">
        <v>46223.4178125</v>
      </c>
      <c r="B234" s="1" t="s">
        <v>590</v>
      </c>
      <c r="C234" s="1" t="s">
        <v>72</v>
      </c>
      <c r="D234" s="1">
        <v>2.0</v>
      </c>
      <c r="E234" s="1" t="s">
        <v>31</v>
      </c>
      <c r="F234" s="4">
        <v>1.0</v>
      </c>
      <c r="G234" s="4">
        <v>3.0</v>
      </c>
      <c r="H234" s="4">
        <v>2.0</v>
      </c>
      <c r="I234" s="4">
        <v>0.0</v>
      </c>
      <c r="J234" s="1">
        <v>7.0</v>
      </c>
      <c r="K234" s="1">
        <v>2.0</v>
      </c>
      <c r="L234" s="1">
        <v>0.0</v>
      </c>
      <c r="M234" s="1">
        <v>0.0</v>
      </c>
      <c r="N234" s="1">
        <v>4.0</v>
      </c>
      <c r="O234" s="1">
        <v>4.0</v>
      </c>
      <c r="P234" s="1">
        <v>0.0</v>
      </c>
      <c r="Q234" s="1"/>
      <c r="R234" s="1"/>
      <c r="S234" s="1">
        <v>73.0</v>
      </c>
      <c r="T234" s="1" t="s">
        <v>28</v>
      </c>
      <c r="U234" s="7">
        <v>0.0</v>
      </c>
      <c r="V234" s="7">
        <v>8.0</v>
      </c>
      <c r="W234" s="7">
        <v>0.0</v>
      </c>
    </row>
    <row r="235">
      <c r="A235" s="3">
        <v>46223.418969907405</v>
      </c>
      <c r="B235" s="1" t="s">
        <v>591</v>
      </c>
      <c r="C235" s="1" t="s">
        <v>592</v>
      </c>
      <c r="D235" s="1">
        <v>2.0</v>
      </c>
      <c r="E235" s="1" t="s">
        <v>102</v>
      </c>
      <c r="F235" s="4">
        <v>2.0</v>
      </c>
      <c r="G235" s="4">
        <v>3.0</v>
      </c>
      <c r="H235" s="4">
        <v>1.0</v>
      </c>
      <c r="I235" s="4">
        <v>0.0</v>
      </c>
      <c r="J235" s="1">
        <v>5.0</v>
      </c>
      <c r="K235" s="1">
        <v>2.0</v>
      </c>
      <c r="L235" s="1">
        <v>-1.0</v>
      </c>
      <c r="M235" s="1">
        <v>2.0</v>
      </c>
      <c r="N235" s="1">
        <v>2.0</v>
      </c>
      <c r="O235" s="1">
        <v>2.0</v>
      </c>
      <c r="P235" s="1">
        <v>1.0</v>
      </c>
      <c r="Q235" s="1" t="s">
        <v>593</v>
      </c>
      <c r="R235" s="1"/>
      <c r="S235" s="1">
        <v>90.0</v>
      </c>
      <c r="T235" s="1" t="s">
        <v>34</v>
      </c>
      <c r="U235" s="7">
        <v>3.0</v>
      </c>
      <c r="V235" s="7">
        <v>4.0</v>
      </c>
      <c r="W235" s="7">
        <v>7.0</v>
      </c>
    </row>
    <row r="236">
      <c r="A236" s="3">
        <v>46223.44496527778</v>
      </c>
      <c r="B236" s="1" t="s">
        <v>594</v>
      </c>
      <c r="C236" s="1" t="s">
        <v>306</v>
      </c>
      <c r="D236" s="1">
        <v>2.0</v>
      </c>
      <c r="E236" s="1" t="s">
        <v>184</v>
      </c>
      <c r="F236" s="4">
        <v>2.0</v>
      </c>
      <c r="G236" s="4">
        <v>2.0</v>
      </c>
      <c r="H236" s="4">
        <v>2.0</v>
      </c>
      <c r="I236" s="4">
        <v>0.0</v>
      </c>
      <c r="J236" s="1">
        <v>4.0</v>
      </c>
      <c r="K236" s="1">
        <v>0.0</v>
      </c>
      <c r="L236" s="1">
        <v>-1.0</v>
      </c>
      <c r="M236" s="1">
        <v>1.0</v>
      </c>
      <c r="N236" s="1">
        <v>3.0</v>
      </c>
      <c r="O236" s="1">
        <v>3.0</v>
      </c>
      <c r="P236" s="1">
        <v>1.0</v>
      </c>
      <c r="Q236" s="1"/>
      <c r="R236" s="1"/>
      <c r="S236" s="1">
        <v>90.0</v>
      </c>
      <c r="T236" s="1" t="s">
        <v>34</v>
      </c>
      <c r="U236" s="7">
        <v>2.0</v>
      </c>
      <c r="V236" s="7">
        <v>6.0</v>
      </c>
      <c r="W236" s="7">
        <v>4.0</v>
      </c>
    </row>
    <row r="237">
      <c r="A237" s="3">
        <v>46223.445601851854</v>
      </c>
      <c r="B237" s="1" t="s">
        <v>595</v>
      </c>
      <c r="C237" s="1" t="s">
        <v>596</v>
      </c>
      <c r="D237" s="1">
        <v>2.0</v>
      </c>
      <c r="E237" s="1" t="s">
        <v>49</v>
      </c>
      <c r="F237" s="4">
        <v>0.0</v>
      </c>
      <c r="G237" s="4">
        <v>0.0</v>
      </c>
      <c r="H237" s="4">
        <v>0.0</v>
      </c>
      <c r="I237" s="4">
        <v>6.0</v>
      </c>
      <c r="J237" s="1">
        <v>2.0</v>
      </c>
      <c r="K237" s="1">
        <v>0.0</v>
      </c>
      <c r="L237" s="1">
        <v>0.0</v>
      </c>
      <c r="M237" s="1">
        <v>2.0</v>
      </c>
      <c r="N237" s="1">
        <v>2.0</v>
      </c>
      <c r="O237" s="1">
        <v>2.0</v>
      </c>
      <c r="P237" s="1">
        <v>2.0</v>
      </c>
      <c r="Q237" s="1"/>
      <c r="R237" s="1"/>
      <c r="S237" s="1">
        <v>662.0</v>
      </c>
      <c r="T237" s="1" t="s">
        <v>34</v>
      </c>
      <c r="U237" s="7">
        <v>4.0</v>
      </c>
      <c r="V237" s="7">
        <v>4.0</v>
      </c>
      <c r="W237" s="7">
        <v>8.0</v>
      </c>
    </row>
    <row r="238">
      <c r="A238" s="3">
        <v>46223.477106481485</v>
      </c>
      <c r="B238" s="1" t="s">
        <v>597</v>
      </c>
      <c r="C238" s="1" t="s">
        <v>453</v>
      </c>
      <c r="D238" s="1">
        <v>2.0</v>
      </c>
      <c r="E238" s="1" t="s">
        <v>184</v>
      </c>
      <c r="F238" s="4">
        <v>2.0</v>
      </c>
      <c r="G238" s="4">
        <v>1.0</v>
      </c>
      <c r="H238" s="4">
        <v>2.0</v>
      </c>
      <c r="I238" s="4">
        <v>1.0</v>
      </c>
      <c r="J238" s="1">
        <v>5.0</v>
      </c>
      <c r="K238" s="1">
        <v>0.0</v>
      </c>
      <c r="L238" s="1">
        <v>1.0</v>
      </c>
      <c r="M238" s="1">
        <v>2.0</v>
      </c>
      <c r="N238" s="1">
        <v>2.0</v>
      </c>
      <c r="O238" s="1">
        <v>2.0</v>
      </c>
      <c r="P238" s="1">
        <v>3.0</v>
      </c>
      <c r="Q238" s="1" t="s">
        <v>598</v>
      </c>
      <c r="R238" s="1"/>
      <c r="S238" s="1">
        <v>109.0</v>
      </c>
      <c r="T238" s="1" t="s">
        <v>34</v>
      </c>
      <c r="U238" s="7">
        <v>5.0</v>
      </c>
      <c r="V238" s="7">
        <v>4.0</v>
      </c>
      <c r="W238" s="7">
        <v>9.0</v>
      </c>
    </row>
    <row r="239">
      <c r="A239" s="3">
        <v>46223.48211805556</v>
      </c>
      <c r="B239" s="1" t="s">
        <v>599</v>
      </c>
      <c r="C239" s="1" t="s">
        <v>131</v>
      </c>
      <c r="D239" s="1">
        <v>2.0</v>
      </c>
      <c r="E239" s="1" t="s">
        <v>90</v>
      </c>
      <c r="F239" s="4">
        <v>2.0</v>
      </c>
      <c r="G239" s="4">
        <v>3.0</v>
      </c>
      <c r="H239" s="4">
        <v>1.0</v>
      </c>
      <c r="I239" s="4">
        <v>0.0</v>
      </c>
      <c r="J239" s="1">
        <v>6.0</v>
      </c>
      <c r="K239" s="1">
        <v>3.0</v>
      </c>
      <c r="L239" s="1">
        <v>0.0</v>
      </c>
      <c r="M239" s="1">
        <v>1.0</v>
      </c>
      <c r="N239" s="1">
        <v>4.0</v>
      </c>
      <c r="O239" s="1">
        <v>4.0</v>
      </c>
      <c r="P239" s="1">
        <v>0.0</v>
      </c>
      <c r="Q239" s="1"/>
      <c r="R239" s="1"/>
      <c r="S239" s="1">
        <v>105.0</v>
      </c>
      <c r="T239" s="1" t="s">
        <v>34</v>
      </c>
      <c r="U239" s="7">
        <v>1.0</v>
      </c>
      <c r="V239" s="7">
        <v>8.0</v>
      </c>
      <c r="W239" s="7">
        <v>1.0</v>
      </c>
    </row>
    <row r="240">
      <c r="A240" s="3">
        <v>46223.505902777775</v>
      </c>
      <c r="B240" s="1" t="s">
        <v>600</v>
      </c>
      <c r="C240" s="1" t="s">
        <v>596</v>
      </c>
      <c r="D240" s="1">
        <v>2.0</v>
      </c>
      <c r="E240" s="1" t="s">
        <v>49</v>
      </c>
      <c r="F240" s="4">
        <v>4.0</v>
      </c>
      <c r="G240" s="4">
        <v>1.0</v>
      </c>
      <c r="H240" s="4">
        <v>1.0</v>
      </c>
      <c r="I240" s="4">
        <v>0.0</v>
      </c>
      <c r="J240" s="1">
        <v>2.0</v>
      </c>
      <c r="K240" s="1">
        <v>0.0</v>
      </c>
      <c r="L240" s="1">
        <v>0.0</v>
      </c>
      <c r="M240" s="1">
        <v>2.0</v>
      </c>
      <c r="N240" s="1">
        <v>2.0</v>
      </c>
      <c r="O240" s="1">
        <v>2.0</v>
      </c>
      <c r="P240" s="1">
        <v>2.0</v>
      </c>
      <c r="Q240" s="1"/>
      <c r="R240" s="1"/>
      <c r="S240" s="1">
        <v>17.0</v>
      </c>
      <c r="T240" s="1" t="s">
        <v>34</v>
      </c>
      <c r="U240" s="7">
        <v>4.0</v>
      </c>
      <c r="V240" s="7">
        <v>4.0</v>
      </c>
      <c r="W240" s="7">
        <v>8.0</v>
      </c>
    </row>
    <row r="241">
      <c r="A241" s="3">
        <v>46223.50630787037</v>
      </c>
      <c r="B241" s="1" t="s">
        <v>601</v>
      </c>
      <c r="C241" s="1" t="s">
        <v>76</v>
      </c>
      <c r="D241" s="1">
        <v>2.0</v>
      </c>
      <c r="E241" s="1" t="s">
        <v>52</v>
      </c>
      <c r="F241" s="4">
        <v>1.0</v>
      </c>
      <c r="G241" s="4">
        <v>2.0</v>
      </c>
      <c r="H241" s="4">
        <v>2.0</v>
      </c>
      <c r="I241" s="4">
        <v>1.0</v>
      </c>
      <c r="J241" s="1">
        <v>5.0</v>
      </c>
      <c r="K241" s="1">
        <v>1.0</v>
      </c>
      <c r="L241" s="1">
        <v>-1.0</v>
      </c>
      <c r="M241" s="1">
        <v>1.0</v>
      </c>
      <c r="N241" s="1">
        <v>4.0</v>
      </c>
      <c r="O241" s="1">
        <v>2.0</v>
      </c>
      <c r="P241" s="1">
        <v>2.0</v>
      </c>
      <c r="Q241" s="1" t="s">
        <v>602</v>
      </c>
      <c r="R241" s="1"/>
      <c r="S241" s="1">
        <v>194.0</v>
      </c>
      <c r="T241" s="1" t="s">
        <v>34</v>
      </c>
      <c r="U241" s="7">
        <v>3.0</v>
      </c>
      <c r="V241" s="7">
        <v>6.0</v>
      </c>
      <c r="W241" s="7">
        <v>5.0</v>
      </c>
    </row>
    <row r="242">
      <c r="A242" s="3">
        <v>46223.50732638889</v>
      </c>
      <c r="B242" s="1" t="s">
        <v>603</v>
      </c>
      <c r="C242" s="1" t="s">
        <v>120</v>
      </c>
      <c r="D242" s="1">
        <v>2.0</v>
      </c>
      <c r="E242" s="1" t="s">
        <v>49</v>
      </c>
      <c r="F242" s="4">
        <v>3.0</v>
      </c>
      <c r="G242" s="4">
        <v>1.0</v>
      </c>
      <c r="H242" s="4">
        <v>2.0</v>
      </c>
      <c r="I242" s="4">
        <v>0.0</v>
      </c>
      <c r="J242" s="1">
        <v>3.0</v>
      </c>
      <c r="K242" s="1">
        <v>-1.0</v>
      </c>
      <c r="L242" s="1">
        <v>0.0</v>
      </c>
      <c r="M242" s="1">
        <v>2.0</v>
      </c>
      <c r="N242" s="1">
        <v>2.0</v>
      </c>
      <c r="O242" s="1">
        <v>2.0</v>
      </c>
      <c r="P242" s="1">
        <v>2.0</v>
      </c>
      <c r="Q242" s="1"/>
      <c r="R242" s="1"/>
      <c r="S242" s="1">
        <v>71.0</v>
      </c>
      <c r="T242" s="1" t="s">
        <v>28</v>
      </c>
      <c r="U242" s="7">
        <v>4.0</v>
      </c>
      <c r="V242" s="7">
        <v>4.0</v>
      </c>
      <c r="W242" s="7">
        <v>8.0</v>
      </c>
    </row>
    <row r="243">
      <c r="A243" s="3">
        <v>46223.556122685186</v>
      </c>
      <c r="B243" s="1" t="s">
        <v>604</v>
      </c>
      <c r="C243" s="1" t="s">
        <v>605</v>
      </c>
      <c r="D243" s="1">
        <v>2.0</v>
      </c>
      <c r="E243" s="1" t="s">
        <v>37</v>
      </c>
      <c r="F243" s="4">
        <v>2.0</v>
      </c>
      <c r="G243" s="4">
        <v>1.0</v>
      </c>
      <c r="H243" s="4">
        <v>3.0</v>
      </c>
      <c r="I243" s="4">
        <v>0.0</v>
      </c>
      <c r="J243" s="1">
        <v>6.0</v>
      </c>
      <c r="K243" s="1">
        <v>-2.0</v>
      </c>
      <c r="L243" s="1">
        <v>-2.0</v>
      </c>
      <c r="M243" s="1">
        <v>3.0</v>
      </c>
      <c r="N243" s="1">
        <v>2.0</v>
      </c>
      <c r="O243" s="1">
        <v>2.0</v>
      </c>
      <c r="P243" s="1">
        <v>3.0</v>
      </c>
      <c r="Q243" s="1" t="s">
        <v>606</v>
      </c>
      <c r="R243" s="1"/>
      <c r="S243" s="1">
        <v>243.0</v>
      </c>
      <c r="T243" s="1" t="s">
        <v>34</v>
      </c>
      <c r="U243" s="7">
        <v>6.0</v>
      </c>
      <c r="V243" s="7">
        <v>4.0</v>
      </c>
      <c r="W243" s="7">
        <v>10.0</v>
      </c>
    </row>
    <row r="244">
      <c r="A244" s="3">
        <v>46223.57164351852</v>
      </c>
      <c r="B244" s="1" t="s">
        <v>607</v>
      </c>
      <c r="C244" s="1" t="s">
        <v>257</v>
      </c>
      <c r="D244" s="1">
        <v>2.0</v>
      </c>
      <c r="E244" s="1" t="s">
        <v>184</v>
      </c>
      <c r="F244" s="4">
        <v>2.0</v>
      </c>
      <c r="G244" s="4">
        <v>2.0</v>
      </c>
      <c r="H244" s="4">
        <v>2.0</v>
      </c>
      <c r="I244" s="4">
        <v>0.0</v>
      </c>
      <c r="J244" s="1">
        <v>5.0</v>
      </c>
      <c r="K244" s="1">
        <v>0.0</v>
      </c>
      <c r="L244" s="1">
        <v>1.0</v>
      </c>
      <c r="M244" s="1">
        <v>1.0</v>
      </c>
      <c r="N244" s="1">
        <v>3.0</v>
      </c>
      <c r="O244" s="1">
        <v>2.0</v>
      </c>
      <c r="P244" s="1">
        <v>2.0</v>
      </c>
      <c r="Q244" s="1" t="s">
        <v>608</v>
      </c>
      <c r="R244" s="1"/>
      <c r="S244" s="1">
        <v>73.0</v>
      </c>
      <c r="T244" s="1" t="s">
        <v>34</v>
      </c>
      <c r="U244" s="7">
        <v>3.0</v>
      </c>
      <c r="V244" s="7">
        <v>5.0</v>
      </c>
      <c r="W244" s="7">
        <v>6.0</v>
      </c>
    </row>
    <row r="245">
      <c r="A245" s="3">
        <v>46223.58625</v>
      </c>
      <c r="B245" s="1" t="s">
        <v>609</v>
      </c>
      <c r="C245" s="1" t="s">
        <v>313</v>
      </c>
      <c r="D245" s="1">
        <v>2.0</v>
      </c>
      <c r="E245" s="1" t="s">
        <v>184</v>
      </c>
      <c r="F245" s="4">
        <v>1.0</v>
      </c>
      <c r="G245" s="4">
        <v>2.0</v>
      </c>
      <c r="H245" s="4">
        <v>3.0</v>
      </c>
      <c r="I245" s="4">
        <v>0.0</v>
      </c>
      <c r="J245" s="1">
        <v>4.0</v>
      </c>
      <c r="K245" s="1">
        <v>0.0</v>
      </c>
      <c r="L245" s="1">
        <v>-2.0</v>
      </c>
      <c r="M245" s="1">
        <v>4.0</v>
      </c>
      <c r="N245" s="1">
        <v>1.0</v>
      </c>
      <c r="O245" s="1">
        <v>1.0</v>
      </c>
      <c r="P245" s="1">
        <v>3.0</v>
      </c>
      <c r="Q245" s="1"/>
      <c r="R245" s="1"/>
      <c r="S245" s="1">
        <v>374.0</v>
      </c>
      <c r="T245" s="1" t="s">
        <v>28</v>
      </c>
      <c r="U245" s="7">
        <v>7.0</v>
      </c>
      <c r="V245" s="7">
        <v>2.0</v>
      </c>
      <c r="W245" s="7">
        <v>13.0</v>
      </c>
    </row>
    <row r="246">
      <c r="A246" s="3">
        <v>46223.60917824074</v>
      </c>
      <c r="B246" s="1" t="s">
        <v>610</v>
      </c>
      <c r="C246" s="1" t="s">
        <v>393</v>
      </c>
      <c r="D246" s="1">
        <v>2.0</v>
      </c>
      <c r="E246" s="1" t="s">
        <v>102</v>
      </c>
      <c r="F246" s="4">
        <v>1.0</v>
      </c>
      <c r="G246" s="4">
        <v>2.0</v>
      </c>
      <c r="H246" s="4">
        <v>2.0</v>
      </c>
      <c r="I246" s="4">
        <v>1.0</v>
      </c>
      <c r="J246" s="1">
        <v>4.0</v>
      </c>
      <c r="K246" s="1">
        <v>-1.0</v>
      </c>
      <c r="L246" s="1">
        <v>0.0</v>
      </c>
      <c r="M246" s="1">
        <v>2.0</v>
      </c>
      <c r="N246" s="1">
        <v>3.0</v>
      </c>
      <c r="O246" s="1">
        <v>3.0</v>
      </c>
      <c r="P246" s="1">
        <v>2.0</v>
      </c>
      <c r="Q246" s="1" t="s">
        <v>611</v>
      </c>
      <c r="R246" s="1"/>
      <c r="S246" s="1">
        <v>448.0</v>
      </c>
      <c r="T246" s="1" t="s">
        <v>34</v>
      </c>
      <c r="U246" s="7">
        <v>4.0</v>
      </c>
      <c r="V246" s="7">
        <v>6.0</v>
      </c>
      <c r="W246" s="7">
        <v>6.0</v>
      </c>
    </row>
    <row r="247">
      <c r="A247" s="3">
        <v>46223.61033564815</v>
      </c>
      <c r="B247" s="1" t="s">
        <v>612</v>
      </c>
      <c r="C247" s="1" t="s">
        <v>200</v>
      </c>
      <c r="D247" s="1">
        <v>2.0</v>
      </c>
      <c r="E247" s="1" t="s">
        <v>184</v>
      </c>
      <c r="F247" s="4">
        <v>0.0</v>
      </c>
      <c r="G247" s="4">
        <v>3.0</v>
      </c>
      <c r="H247" s="4">
        <v>3.0</v>
      </c>
      <c r="I247" s="4">
        <v>0.0</v>
      </c>
      <c r="J247" s="1">
        <v>6.0</v>
      </c>
      <c r="K247" s="1">
        <v>0.0</v>
      </c>
      <c r="L247" s="1">
        <v>-1.0</v>
      </c>
      <c r="M247" s="1">
        <v>0.0</v>
      </c>
      <c r="N247" s="1">
        <v>4.0</v>
      </c>
      <c r="O247" s="1">
        <v>3.0</v>
      </c>
      <c r="P247" s="1">
        <v>1.0</v>
      </c>
      <c r="Q247" s="1" t="s">
        <v>613</v>
      </c>
      <c r="R247" s="1"/>
      <c r="S247" s="1">
        <v>379.0</v>
      </c>
      <c r="T247" s="1" t="s">
        <v>28</v>
      </c>
      <c r="U247" s="7">
        <v>1.0</v>
      </c>
      <c r="V247" s="7">
        <v>7.0</v>
      </c>
      <c r="W247" s="7">
        <v>2.0</v>
      </c>
    </row>
    <row r="248">
      <c r="A248" s="3">
        <v>46223.615115740744</v>
      </c>
      <c r="B248" s="1" t="s">
        <v>614</v>
      </c>
      <c r="C248" s="1" t="s">
        <v>171</v>
      </c>
      <c r="D248" s="1">
        <v>2.0</v>
      </c>
      <c r="E248" s="1" t="s">
        <v>90</v>
      </c>
      <c r="F248" s="4">
        <v>0.0</v>
      </c>
      <c r="G248" s="4">
        <v>1.0</v>
      </c>
      <c r="H248" s="4">
        <v>2.0</v>
      </c>
      <c r="I248" s="4">
        <v>3.0</v>
      </c>
      <c r="J248" s="1">
        <v>5.0</v>
      </c>
      <c r="K248" s="1">
        <v>-1.0</v>
      </c>
      <c r="L248" s="1">
        <v>-2.0</v>
      </c>
      <c r="M248" s="1">
        <v>2.0</v>
      </c>
      <c r="N248" s="1">
        <v>3.0</v>
      </c>
      <c r="O248" s="1">
        <v>2.0</v>
      </c>
      <c r="P248" s="1">
        <v>2.0</v>
      </c>
      <c r="Q248" s="1" t="s">
        <v>615</v>
      </c>
      <c r="R248" s="1"/>
      <c r="S248" s="1">
        <v>106.0</v>
      </c>
      <c r="T248" s="1" t="s">
        <v>28</v>
      </c>
      <c r="U248" s="7">
        <v>4.0</v>
      </c>
      <c r="V248" s="7">
        <v>5.0</v>
      </c>
      <c r="W248" s="7">
        <v>7.0</v>
      </c>
    </row>
    <row r="249">
      <c r="A249" s="3">
        <v>46223.62231481481</v>
      </c>
      <c r="B249" s="1" t="s">
        <v>616</v>
      </c>
      <c r="C249" s="1" t="s">
        <v>274</v>
      </c>
      <c r="D249" s="1">
        <v>2.0</v>
      </c>
      <c r="E249" s="1" t="s">
        <v>102</v>
      </c>
      <c r="F249" s="4">
        <v>1.0</v>
      </c>
      <c r="G249" s="4">
        <v>3.0</v>
      </c>
      <c r="H249" s="4">
        <v>2.0</v>
      </c>
      <c r="I249" s="4">
        <v>0.0</v>
      </c>
      <c r="J249" s="1">
        <v>4.0</v>
      </c>
      <c r="K249" s="1">
        <v>-1.0</v>
      </c>
      <c r="L249" s="1">
        <v>-1.0</v>
      </c>
      <c r="M249" s="1">
        <v>2.0</v>
      </c>
      <c r="N249" s="1">
        <v>2.0</v>
      </c>
      <c r="O249" s="1">
        <v>3.0</v>
      </c>
      <c r="P249" s="1">
        <v>2.0</v>
      </c>
      <c r="Q249" s="1" t="s">
        <v>617</v>
      </c>
      <c r="R249" s="1"/>
      <c r="S249" s="1">
        <v>378.0</v>
      </c>
      <c r="T249" s="1" t="s">
        <v>34</v>
      </c>
      <c r="U249" s="7">
        <v>4.0</v>
      </c>
      <c r="V249" s="7">
        <v>5.0</v>
      </c>
      <c r="W249" s="7">
        <v>7.0</v>
      </c>
    </row>
    <row r="250">
      <c r="A250" s="3">
        <v>46223.64662037037</v>
      </c>
      <c r="B250" s="1" t="s">
        <v>618</v>
      </c>
      <c r="C250" s="1" t="s">
        <v>69</v>
      </c>
      <c r="D250" s="1">
        <v>2.0</v>
      </c>
      <c r="E250" s="1" t="s">
        <v>49</v>
      </c>
      <c r="F250" s="4">
        <v>0.0</v>
      </c>
      <c r="G250" s="4">
        <v>0.0</v>
      </c>
      <c r="H250" s="4">
        <v>0.0</v>
      </c>
      <c r="I250" s="4">
        <v>6.0</v>
      </c>
      <c r="J250" s="1">
        <v>6.0</v>
      </c>
      <c r="K250" s="1">
        <v>1.0</v>
      </c>
      <c r="L250" s="1">
        <v>-1.0</v>
      </c>
      <c r="M250" s="1">
        <v>3.0</v>
      </c>
      <c r="N250" s="1">
        <v>3.0</v>
      </c>
      <c r="O250" s="1">
        <v>2.0</v>
      </c>
      <c r="P250" s="1">
        <v>2.0</v>
      </c>
      <c r="Q250" s="1" t="s">
        <v>619</v>
      </c>
      <c r="R250" s="1"/>
      <c r="S250" s="1">
        <v>113.0</v>
      </c>
      <c r="T250" s="1" t="s">
        <v>34</v>
      </c>
      <c r="U250" s="7">
        <v>5.0</v>
      </c>
      <c r="V250" s="7">
        <v>5.0</v>
      </c>
      <c r="W250" s="7">
        <v>8.0</v>
      </c>
    </row>
    <row r="251">
      <c r="A251" s="3">
        <v>46223.66284722222</v>
      </c>
      <c r="B251" s="1" t="s">
        <v>620</v>
      </c>
      <c r="C251" s="1" t="s">
        <v>271</v>
      </c>
      <c r="D251" s="1">
        <v>2.0</v>
      </c>
      <c r="E251" s="1" t="s">
        <v>184</v>
      </c>
      <c r="F251" s="4">
        <v>0.0</v>
      </c>
      <c r="G251" s="4">
        <v>5.0</v>
      </c>
      <c r="H251" s="4">
        <v>1.0</v>
      </c>
      <c r="I251" s="4">
        <v>0.0</v>
      </c>
      <c r="J251" s="1">
        <v>4.0</v>
      </c>
      <c r="K251" s="1">
        <v>0.0</v>
      </c>
      <c r="L251" s="1">
        <v>-2.0</v>
      </c>
      <c r="M251" s="1">
        <v>1.0</v>
      </c>
      <c r="N251" s="1">
        <v>3.0</v>
      </c>
      <c r="O251" s="1">
        <v>3.0</v>
      </c>
      <c r="P251" s="1">
        <v>1.0</v>
      </c>
      <c r="Q251" s="1" t="s">
        <v>621</v>
      </c>
      <c r="R251" s="1"/>
      <c r="S251" s="1">
        <v>161.0</v>
      </c>
      <c r="T251" s="1" t="s">
        <v>34</v>
      </c>
      <c r="U251" s="7">
        <v>2.0</v>
      </c>
      <c r="V251" s="7">
        <v>6.0</v>
      </c>
      <c r="W251" s="7">
        <v>4.0</v>
      </c>
    </row>
    <row r="252">
      <c r="A252" s="3">
        <v>46223.69188657407</v>
      </c>
      <c r="B252" s="1" t="s">
        <v>622</v>
      </c>
      <c r="C252" s="1" t="s">
        <v>442</v>
      </c>
      <c r="D252" s="1">
        <v>2.0</v>
      </c>
      <c r="E252" s="1" t="s">
        <v>184</v>
      </c>
      <c r="F252" s="4">
        <v>5.0</v>
      </c>
      <c r="G252" s="4">
        <v>0.0</v>
      </c>
      <c r="H252" s="4">
        <v>1.0</v>
      </c>
      <c r="I252" s="4">
        <v>0.0</v>
      </c>
      <c r="J252" s="1">
        <v>4.0</v>
      </c>
      <c r="K252" s="1">
        <v>-2.0</v>
      </c>
      <c r="L252" s="1">
        <v>-2.0</v>
      </c>
      <c r="M252" s="1">
        <v>0.0</v>
      </c>
      <c r="N252" s="1">
        <v>3.0</v>
      </c>
      <c r="O252" s="1">
        <v>1.0</v>
      </c>
      <c r="P252" s="1">
        <v>2.0</v>
      </c>
      <c r="Q252" s="1"/>
      <c r="R252" s="1"/>
      <c r="S252" s="1">
        <v>101.0</v>
      </c>
      <c r="T252" s="1" t="s">
        <v>34</v>
      </c>
      <c r="U252" s="7">
        <v>2.0</v>
      </c>
      <c r="V252" s="7">
        <v>4.0</v>
      </c>
      <c r="W252" s="7">
        <v>6.0</v>
      </c>
    </row>
    <row r="253">
      <c r="A253" s="3">
        <v>46223.698171296295</v>
      </c>
      <c r="B253" s="1" t="s">
        <v>623</v>
      </c>
      <c r="C253" s="1" t="s">
        <v>252</v>
      </c>
      <c r="D253" s="1">
        <v>2.0</v>
      </c>
      <c r="E253" s="1" t="s">
        <v>192</v>
      </c>
      <c r="F253" s="4">
        <v>0.0</v>
      </c>
      <c r="G253" s="4">
        <v>3.0</v>
      </c>
      <c r="H253" s="4">
        <v>3.0</v>
      </c>
      <c r="I253" s="4">
        <v>0.0</v>
      </c>
      <c r="J253" s="1">
        <v>2.0</v>
      </c>
      <c r="K253" s="1">
        <v>-2.0</v>
      </c>
      <c r="L253" s="1">
        <v>-3.0</v>
      </c>
      <c r="M253" s="1">
        <v>1.0</v>
      </c>
      <c r="N253" s="1">
        <v>3.0</v>
      </c>
      <c r="O253" s="1">
        <v>3.0</v>
      </c>
      <c r="P253" s="1">
        <v>1.0</v>
      </c>
      <c r="Q253" s="1"/>
      <c r="R253" s="1"/>
      <c r="S253" s="1">
        <v>39.0</v>
      </c>
      <c r="T253" s="1" t="s">
        <v>28</v>
      </c>
      <c r="U253" s="7">
        <v>2.0</v>
      </c>
      <c r="V253" s="7">
        <v>6.0</v>
      </c>
      <c r="W253" s="7">
        <v>4.0</v>
      </c>
    </row>
    <row r="254">
      <c r="A254" s="3">
        <v>46223.75971064815</v>
      </c>
      <c r="B254" s="1" t="s">
        <v>624</v>
      </c>
      <c r="C254" s="1" t="s">
        <v>101</v>
      </c>
      <c r="D254" s="1">
        <v>2.0</v>
      </c>
      <c r="E254" s="1" t="s">
        <v>52</v>
      </c>
      <c r="F254" s="4">
        <v>0.0</v>
      </c>
      <c r="G254" s="4">
        <v>3.0</v>
      </c>
      <c r="H254" s="4">
        <v>3.0</v>
      </c>
      <c r="I254" s="4">
        <v>0.0</v>
      </c>
      <c r="J254" s="1">
        <v>5.0</v>
      </c>
      <c r="K254" s="1">
        <v>0.0</v>
      </c>
      <c r="L254" s="1">
        <v>-3.0</v>
      </c>
      <c r="M254" s="1">
        <v>2.0</v>
      </c>
      <c r="N254" s="1">
        <v>2.0</v>
      </c>
      <c r="O254" s="1">
        <v>2.0</v>
      </c>
      <c r="P254" s="1">
        <v>2.0</v>
      </c>
      <c r="Q254" s="1"/>
      <c r="R254" s="1"/>
      <c r="S254" s="1">
        <v>53.0</v>
      </c>
      <c r="T254" s="1" t="s">
        <v>28</v>
      </c>
      <c r="U254" s="7">
        <v>4.0</v>
      </c>
      <c r="V254" s="7">
        <v>4.0</v>
      </c>
      <c r="W254" s="7">
        <v>8.0</v>
      </c>
    </row>
    <row r="255">
      <c r="A255" s="3">
        <v>46223.767592592594</v>
      </c>
      <c r="B255" s="1" t="s">
        <v>625</v>
      </c>
      <c r="C255" s="1" t="s">
        <v>303</v>
      </c>
      <c r="D255" s="1">
        <v>2.0</v>
      </c>
      <c r="E255" s="1" t="s">
        <v>184</v>
      </c>
      <c r="F255" s="4">
        <v>1.0</v>
      </c>
      <c r="G255" s="4">
        <v>4.0</v>
      </c>
      <c r="H255" s="4">
        <v>1.0</v>
      </c>
      <c r="I255" s="4">
        <v>0.0</v>
      </c>
      <c r="J255" s="1">
        <v>7.0</v>
      </c>
      <c r="K255" s="1">
        <v>1.0</v>
      </c>
      <c r="L255" s="1">
        <v>-1.0</v>
      </c>
      <c r="M255" s="1">
        <v>2.0</v>
      </c>
      <c r="N255" s="1">
        <v>3.0</v>
      </c>
      <c r="O255" s="1">
        <v>3.0</v>
      </c>
      <c r="P255" s="1">
        <v>2.0</v>
      </c>
      <c r="Q255" s="1"/>
      <c r="R255" s="1"/>
      <c r="S255" s="1">
        <v>485.0</v>
      </c>
      <c r="T255" s="1" t="s">
        <v>34</v>
      </c>
      <c r="U255" s="7">
        <v>4.0</v>
      </c>
      <c r="V255" s="7">
        <v>6.0</v>
      </c>
      <c r="W255" s="7">
        <v>6.0</v>
      </c>
    </row>
    <row r="256">
      <c r="A256" s="3">
        <v>46223.83037037037</v>
      </c>
      <c r="B256" s="1" t="s">
        <v>626</v>
      </c>
      <c r="C256" s="1" t="s">
        <v>627</v>
      </c>
      <c r="D256" s="1">
        <v>2.0</v>
      </c>
      <c r="E256" s="1" t="s">
        <v>192</v>
      </c>
      <c r="F256" s="4">
        <v>1.0</v>
      </c>
      <c r="G256" s="4">
        <v>2.0</v>
      </c>
      <c r="H256" s="4">
        <v>3.0</v>
      </c>
      <c r="I256" s="4">
        <v>0.0</v>
      </c>
      <c r="J256" s="1">
        <v>4.0</v>
      </c>
      <c r="K256" s="1">
        <v>1.0</v>
      </c>
      <c r="L256" s="1">
        <v>1.0</v>
      </c>
      <c r="M256" s="1">
        <v>1.0</v>
      </c>
      <c r="N256" s="1">
        <v>3.0</v>
      </c>
      <c r="O256" s="1">
        <v>3.0</v>
      </c>
      <c r="P256" s="1">
        <v>1.0</v>
      </c>
      <c r="Q256" s="1" t="s">
        <v>628</v>
      </c>
      <c r="R256" s="1" t="s">
        <v>629</v>
      </c>
      <c r="S256" s="1">
        <v>347.0</v>
      </c>
      <c r="T256" s="1" t="s">
        <v>28</v>
      </c>
      <c r="U256" s="7">
        <v>2.0</v>
      </c>
      <c r="V256" s="7">
        <v>6.0</v>
      </c>
      <c r="W256" s="7">
        <v>4.0</v>
      </c>
    </row>
    <row r="257">
      <c r="A257" s="3">
        <v>46223.84339120371</v>
      </c>
      <c r="B257" s="1" t="s">
        <v>630</v>
      </c>
      <c r="C257" s="1" t="s">
        <v>266</v>
      </c>
      <c r="D257" s="1">
        <v>2.0</v>
      </c>
      <c r="E257" s="1" t="s">
        <v>184</v>
      </c>
      <c r="F257" s="4">
        <v>1.0</v>
      </c>
      <c r="G257" s="4">
        <v>3.0</v>
      </c>
      <c r="H257" s="4">
        <v>2.0</v>
      </c>
      <c r="I257" s="4">
        <v>0.0</v>
      </c>
      <c r="J257" s="1">
        <v>6.0</v>
      </c>
      <c r="K257" s="1">
        <v>0.0</v>
      </c>
      <c r="L257" s="1">
        <v>-1.0</v>
      </c>
      <c r="M257" s="1">
        <v>1.0</v>
      </c>
      <c r="N257" s="1">
        <v>4.0</v>
      </c>
      <c r="O257" s="1">
        <v>4.0</v>
      </c>
      <c r="P257" s="1">
        <v>0.0</v>
      </c>
      <c r="Q257" s="1"/>
      <c r="R257" s="1"/>
      <c r="S257" s="1">
        <v>93.0</v>
      </c>
      <c r="T257" s="1" t="s">
        <v>34</v>
      </c>
      <c r="U257" s="7">
        <v>1.0</v>
      </c>
      <c r="V257" s="7">
        <v>8.0</v>
      </c>
      <c r="W257" s="7">
        <v>1.0</v>
      </c>
    </row>
    <row r="258">
      <c r="A258" s="3">
        <v>46223.87763888889</v>
      </c>
      <c r="B258" s="1" t="s">
        <v>631</v>
      </c>
      <c r="C258" s="1" t="s">
        <v>133</v>
      </c>
      <c r="D258" s="1">
        <v>2.0</v>
      </c>
      <c r="E258" s="1" t="s">
        <v>90</v>
      </c>
      <c r="F258" s="4">
        <v>1.0</v>
      </c>
      <c r="G258" s="4">
        <v>3.0</v>
      </c>
      <c r="H258" s="4">
        <v>2.0</v>
      </c>
      <c r="I258" s="4">
        <v>0.0</v>
      </c>
      <c r="J258" s="1">
        <v>6.0</v>
      </c>
      <c r="K258" s="1">
        <v>1.0</v>
      </c>
      <c r="L258" s="1">
        <v>-1.0</v>
      </c>
      <c r="M258" s="1">
        <v>1.0</v>
      </c>
      <c r="N258" s="1">
        <v>3.0</v>
      </c>
      <c r="O258" s="1">
        <v>3.0</v>
      </c>
      <c r="P258" s="1">
        <v>1.0</v>
      </c>
      <c r="Q258" s="1" t="s">
        <v>632</v>
      </c>
      <c r="R258" s="1"/>
      <c r="S258" s="1">
        <v>279.0</v>
      </c>
      <c r="T258" s="1" t="s">
        <v>34</v>
      </c>
      <c r="U258" s="7">
        <v>2.0</v>
      </c>
      <c r="V258" s="7">
        <v>6.0</v>
      </c>
      <c r="W258" s="7">
        <v>4.0</v>
      </c>
    </row>
    <row r="259">
      <c r="A259" s="3">
        <v>46223.883206018516</v>
      </c>
      <c r="B259" s="1" t="s">
        <v>633</v>
      </c>
      <c r="C259" s="1" t="s">
        <v>634</v>
      </c>
      <c r="D259" s="1">
        <v>2.0</v>
      </c>
      <c r="E259" s="1" t="s">
        <v>192</v>
      </c>
      <c r="F259" s="4">
        <v>0.0</v>
      </c>
      <c r="G259" s="4">
        <v>5.0</v>
      </c>
      <c r="H259" s="4">
        <v>1.0</v>
      </c>
      <c r="I259" s="4">
        <v>0.0</v>
      </c>
      <c r="J259" s="1">
        <v>5.0</v>
      </c>
      <c r="K259" s="1">
        <v>1.0</v>
      </c>
      <c r="L259" s="1">
        <v>-1.0</v>
      </c>
      <c r="M259" s="1">
        <v>1.0</v>
      </c>
      <c r="N259" s="1">
        <v>3.0</v>
      </c>
      <c r="O259" s="1">
        <v>3.0</v>
      </c>
      <c r="P259" s="1">
        <v>1.0</v>
      </c>
      <c r="Q259" s="1"/>
      <c r="R259" s="1"/>
      <c r="S259" s="1">
        <v>11795.0</v>
      </c>
      <c r="T259" s="1" t="s">
        <v>34</v>
      </c>
      <c r="U259" s="7">
        <v>2.0</v>
      </c>
      <c r="V259" s="7">
        <v>6.0</v>
      </c>
      <c r="W259" s="7">
        <v>4.0</v>
      </c>
    </row>
    <row r="260">
      <c r="A260" s="3">
        <v>46223.89733796296</v>
      </c>
      <c r="B260" s="1" t="s">
        <v>635</v>
      </c>
      <c r="C260" s="1" t="s">
        <v>144</v>
      </c>
      <c r="D260" s="1">
        <v>2.0</v>
      </c>
      <c r="E260" s="1" t="s">
        <v>52</v>
      </c>
      <c r="F260" s="4">
        <v>3.0</v>
      </c>
      <c r="G260" s="4">
        <v>1.0</v>
      </c>
      <c r="H260" s="4">
        <v>2.0</v>
      </c>
      <c r="I260" s="4">
        <v>0.0</v>
      </c>
      <c r="J260" s="1">
        <v>4.0</v>
      </c>
      <c r="K260" s="1">
        <v>1.0</v>
      </c>
      <c r="L260" s="1">
        <v>1.0</v>
      </c>
      <c r="M260" s="1">
        <v>2.0</v>
      </c>
      <c r="N260" s="1">
        <v>2.0</v>
      </c>
      <c r="O260" s="1">
        <v>2.0</v>
      </c>
      <c r="P260" s="1">
        <v>2.0</v>
      </c>
      <c r="Q260" s="1" t="s">
        <v>636</v>
      </c>
      <c r="R260" s="1" t="s">
        <v>637</v>
      </c>
      <c r="S260" s="1">
        <v>297.0</v>
      </c>
      <c r="T260" s="1" t="s">
        <v>28</v>
      </c>
      <c r="U260" s="7">
        <v>4.0</v>
      </c>
      <c r="V260" s="7">
        <v>4.0</v>
      </c>
      <c r="W260" s="7">
        <v>8.0</v>
      </c>
    </row>
    <row r="261">
      <c r="A261" s="3">
        <v>46223.90826388889</v>
      </c>
      <c r="B261" s="1" t="s">
        <v>638</v>
      </c>
      <c r="C261" s="1" t="s">
        <v>639</v>
      </c>
      <c r="D261" s="1">
        <v>1.0</v>
      </c>
      <c r="E261" s="1" t="s">
        <v>102</v>
      </c>
      <c r="F261" s="4">
        <v>3.0</v>
      </c>
      <c r="G261" s="4">
        <v>1.0</v>
      </c>
      <c r="H261" s="4">
        <v>2.0</v>
      </c>
      <c r="I261" s="4">
        <v>0.0</v>
      </c>
      <c r="J261" s="1">
        <v>6.0</v>
      </c>
      <c r="K261" s="1">
        <v>2.0</v>
      </c>
      <c r="L261" s="1">
        <v>3.0</v>
      </c>
      <c r="M261" s="1">
        <v>3.0</v>
      </c>
      <c r="N261" s="1">
        <v>2.0</v>
      </c>
      <c r="O261" s="1">
        <v>3.0</v>
      </c>
      <c r="P261" s="1">
        <v>3.0</v>
      </c>
      <c r="Q261" s="1" t="s">
        <v>640</v>
      </c>
      <c r="R261" s="1"/>
      <c r="S261" s="1">
        <v>155.0</v>
      </c>
      <c r="T261" s="1" t="s">
        <v>34</v>
      </c>
      <c r="U261" s="7">
        <v>6.0</v>
      </c>
      <c r="V261" s="7">
        <v>5.0</v>
      </c>
      <c r="W261" s="7">
        <v>9.0</v>
      </c>
    </row>
    <row r="262">
      <c r="A262" s="3">
        <v>46223.96805555555</v>
      </c>
      <c r="B262" s="1" t="s">
        <v>641</v>
      </c>
      <c r="C262" s="1" t="s">
        <v>240</v>
      </c>
      <c r="D262" s="1">
        <v>2.0</v>
      </c>
      <c r="E262" s="1" t="s">
        <v>184</v>
      </c>
      <c r="F262" s="4">
        <v>2.0</v>
      </c>
      <c r="G262" s="4">
        <v>2.0</v>
      </c>
      <c r="H262" s="4">
        <v>2.0</v>
      </c>
      <c r="I262" s="4">
        <v>0.0</v>
      </c>
      <c r="J262" s="1">
        <v>5.0</v>
      </c>
      <c r="K262" s="1">
        <v>0.0</v>
      </c>
      <c r="L262" s="1">
        <v>0.0</v>
      </c>
      <c r="M262" s="1">
        <v>1.0</v>
      </c>
      <c r="N262" s="1">
        <v>3.0</v>
      </c>
      <c r="O262" s="1">
        <v>2.0</v>
      </c>
      <c r="P262" s="1">
        <v>1.0</v>
      </c>
      <c r="Q262" s="1"/>
      <c r="R262" s="1"/>
      <c r="S262" s="1">
        <v>77.0</v>
      </c>
      <c r="T262" s="1" t="s">
        <v>34</v>
      </c>
      <c r="U262" s="7">
        <v>2.0</v>
      </c>
      <c r="V262" s="7">
        <v>5.0</v>
      </c>
      <c r="W262" s="7">
        <v>5.0</v>
      </c>
    </row>
    <row r="263">
      <c r="A263" s="3">
        <v>46223.977951388886</v>
      </c>
      <c r="B263" s="1" t="s">
        <v>642</v>
      </c>
      <c r="C263" s="1" t="s">
        <v>297</v>
      </c>
      <c r="D263" s="1">
        <v>2.0</v>
      </c>
      <c r="E263" s="1" t="s">
        <v>102</v>
      </c>
      <c r="F263" s="4">
        <v>3.0</v>
      </c>
      <c r="G263" s="4">
        <v>1.0</v>
      </c>
      <c r="H263" s="4">
        <v>2.0</v>
      </c>
      <c r="I263" s="4">
        <v>0.0</v>
      </c>
      <c r="J263" s="1">
        <v>3.0</v>
      </c>
      <c r="K263" s="1">
        <v>-1.0</v>
      </c>
      <c r="L263" s="1">
        <v>-1.0</v>
      </c>
      <c r="M263" s="1">
        <v>2.0</v>
      </c>
      <c r="N263" s="1">
        <v>2.0</v>
      </c>
      <c r="O263" s="1">
        <v>2.0</v>
      </c>
      <c r="P263" s="1">
        <v>2.0</v>
      </c>
      <c r="Q263" s="1"/>
      <c r="R263" s="1"/>
      <c r="S263" s="1">
        <v>42.0</v>
      </c>
      <c r="T263" s="1" t="s">
        <v>34</v>
      </c>
      <c r="U263" s="7">
        <v>4.0</v>
      </c>
      <c r="V263" s="7">
        <v>4.0</v>
      </c>
      <c r="W263" s="7">
        <v>8.0</v>
      </c>
    </row>
    <row r="264">
      <c r="A264" s="3">
        <v>46223.97829861111</v>
      </c>
      <c r="B264" s="1" t="s">
        <v>643</v>
      </c>
      <c r="C264" s="1" t="s">
        <v>297</v>
      </c>
      <c r="D264" s="1">
        <v>1.0</v>
      </c>
      <c r="E264" s="1" t="s">
        <v>102</v>
      </c>
      <c r="F264" s="4">
        <v>3.0</v>
      </c>
      <c r="G264" s="4">
        <v>1.0</v>
      </c>
      <c r="H264" s="4">
        <v>2.0</v>
      </c>
      <c r="I264" s="4">
        <v>0.0</v>
      </c>
      <c r="J264" s="1">
        <v>2.0</v>
      </c>
      <c r="K264" s="1">
        <v>-1.0</v>
      </c>
      <c r="L264" s="1">
        <v>-1.0</v>
      </c>
      <c r="M264" s="1">
        <v>2.0</v>
      </c>
      <c r="N264" s="1">
        <v>2.0</v>
      </c>
      <c r="O264" s="1">
        <v>2.0</v>
      </c>
      <c r="P264" s="1">
        <v>2.0</v>
      </c>
      <c r="Q264" s="1"/>
      <c r="R264" s="1"/>
      <c r="S264" s="1">
        <v>16.0</v>
      </c>
      <c r="T264" s="1" t="s">
        <v>34</v>
      </c>
      <c r="U264" s="7">
        <v>4.0</v>
      </c>
      <c r="V264" s="7">
        <v>4.0</v>
      </c>
      <c r="W264" s="7">
        <v>8.0</v>
      </c>
    </row>
    <row r="265">
      <c r="A265" s="3">
        <v>46224.321238425924</v>
      </c>
      <c r="B265" s="1" t="s">
        <v>644</v>
      </c>
      <c r="C265" s="1" t="s">
        <v>645</v>
      </c>
      <c r="D265" s="1">
        <v>2.0</v>
      </c>
      <c r="E265" s="1" t="s">
        <v>184</v>
      </c>
      <c r="F265" s="4">
        <v>2.0</v>
      </c>
      <c r="G265" s="4">
        <v>2.0</v>
      </c>
      <c r="H265" s="4">
        <v>2.0</v>
      </c>
      <c r="I265" s="4">
        <v>0.0</v>
      </c>
      <c r="J265" s="1">
        <v>5.0</v>
      </c>
      <c r="K265" s="1">
        <v>1.0</v>
      </c>
      <c r="L265" s="1">
        <v>0.0</v>
      </c>
      <c r="M265" s="1">
        <v>2.0</v>
      </c>
      <c r="N265" s="1">
        <v>3.0</v>
      </c>
      <c r="O265" s="1">
        <v>3.0</v>
      </c>
      <c r="P265" s="1">
        <v>2.0</v>
      </c>
      <c r="Q265" s="1" t="s">
        <v>646</v>
      </c>
      <c r="R265" s="1" t="s">
        <v>647</v>
      </c>
      <c r="S265" s="1">
        <v>274.0</v>
      </c>
      <c r="T265" s="1" t="s">
        <v>28</v>
      </c>
      <c r="U265" s="7">
        <v>4.0</v>
      </c>
      <c r="V265" s="7">
        <v>6.0</v>
      </c>
      <c r="W265" s="7">
        <v>6.0</v>
      </c>
    </row>
    <row r="266">
      <c r="A266" s="3">
        <v>46224.33300925926</v>
      </c>
      <c r="B266" s="1" t="s">
        <v>648</v>
      </c>
      <c r="C266" s="1" t="s">
        <v>154</v>
      </c>
      <c r="D266" s="1">
        <v>2.0</v>
      </c>
      <c r="E266" s="1" t="s">
        <v>37</v>
      </c>
      <c r="F266" s="4">
        <v>1.0</v>
      </c>
      <c r="G266" s="4">
        <v>2.0</v>
      </c>
      <c r="H266" s="4">
        <v>3.0</v>
      </c>
      <c r="I266" s="4">
        <v>0.0</v>
      </c>
      <c r="J266" s="1">
        <v>5.0</v>
      </c>
      <c r="K266" s="1">
        <v>2.0</v>
      </c>
      <c r="L266" s="1">
        <v>0.0</v>
      </c>
      <c r="M266" s="1">
        <v>2.0</v>
      </c>
      <c r="N266" s="1">
        <v>3.0</v>
      </c>
      <c r="O266" s="1">
        <v>3.0</v>
      </c>
      <c r="P266" s="1">
        <v>2.0</v>
      </c>
      <c r="Q266" s="1"/>
      <c r="R266" s="1"/>
      <c r="S266" s="1">
        <v>92.0</v>
      </c>
      <c r="T266" s="1" t="s">
        <v>28</v>
      </c>
      <c r="U266" s="7">
        <v>4.0</v>
      </c>
      <c r="V266" s="7">
        <v>6.0</v>
      </c>
      <c r="W266" s="7">
        <v>6.0</v>
      </c>
    </row>
    <row r="267">
      <c r="A267" s="3">
        <v>46224.34422453704</v>
      </c>
      <c r="B267" s="1" t="s">
        <v>649</v>
      </c>
      <c r="C267" s="1" t="s">
        <v>152</v>
      </c>
      <c r="D267" s="1">
        <v>2.0</v>
      </c>
      <c r="E267" s="1" t="s">
        <v>31</v>
      </c>
      <c r="F267" s="4">
        <v>2.0</v>
      </c>
      <c r="G267" s="4">
        <v>1.0</v>
      </c>
      <c r="H267" s="4">
        <v>3.0</v>
      </c>
      <c r="I267" s="4">
        <v>0.0</v>
      </c>
      <c r="J267" s="1">
        <v>5.0</v>
      </c>
      <c r="K267" s="1">
        <v>1.0</v>
      </c>
      <c r="L267" s="1">
        <v>2.0</v>
      </c>
      <c r="M267" s="1">
        <v>2.0</v>
      </c>
      <c r="N267" s="1">
        <v>3.0</v>
      </c>
      <c r="O267" s="1">
        <v>2.0</v>
      </c>
      <c r="P267" s="1">
        <v>3.0</v>
      </c>
      <c r="Q267" s="1"/>
      <c r="R267" s="1"/>
      <c r="S267" s="1">
        <v>58.0</v>
      </c>
      <c r="T267" s="1" t="s">
        <v>28</v>
      </c>
      <c r="U267" s="7">
        <v>5.0</v>
      </c>
      <c r="V267" s="7">
        <v>5.0</v>
      </c>
      <c r="W267" s="7">
        <v>8.0</v>
      </c>
    </row>
    <row r="268">
      <c r="A268" s="3">
        <v>46224.48947916667</v>
      </c>
      <c r="B268" s="1" t="s">
        <v>650</v>
      </c>
      <c r="C268" s="1" t="s">
        <v>263</v>
      </c>
      <c r="D268" s="1">
        <v>2.0</v>
      </c>
      <c r="E268" s="1" t="s">
        <v>184</v>
      </c>
      <c r="F268" s="4">
        <v>0.0</v>
      </c>
      <c r="G268" s="4">
        <v>4.0</v>
      </c>
      <c r="H268" s="4">
        <v>2.0</v>
      </c>
      <c r="I268" s="4">
        <v>0.0</v>
      </c>
      <c r="J268" s="1">
        <v>5.0</v>
      </c>
      <c r="K268" s="1">
        <v>1.0</v>
      </c>
      <c r="L268" s="1">
        <v>-1.0</v>
      </c>
      <c r="M268" s="1">
        <v>1.0</v>
      </c>
      <c r="N268" s="1">
        <v>3.0</v>
      </c>
      <c r="O268" s="1">
        <v>3.0</v>
      </c>
      <c r="P268" s="1">
        <v>1.0</v>
      </c>
      <c r="Q268" s="1"/>
      <c r="R268" s="1"/>
      <c r="S268" s="1">
        <v>95.0</v>
      </c>
      <c r="T268" s="1" t="s">
        <v>34</v>
      </c>
      <c r="U268" s="7">
        <v>2.0</v>
      </c>
      <c r="V268" s="7">
        <v>6.0</v>
      </c>
      <c r="W268" s="7">
        <v>4.0</v>
      </c>
    </row>
    <row r="269">
      <c r="A269" s="3">
        <v>46224.500613425924</v>
      </c>
      <c r="B269" s="1" t="s">
        <v>651</v>
      </c>
      <c r="C269" s="1" t="s">
        <v>66</v>
      </c>
      <c r="D269" s="1">
        <v>2.0</v>
      </c>
      <c r="E269" s="1" t="s">
        <v>49</v>
      </c>
      <c r="F269" s="4">
        <v>1.0</v>
      </c>
      <c r="G269" s="4">
        <v>1.0</v>
      </c>
      <c r="H269" s="4">
        <v>2.0</v>
      </c>
      <c r="I269" s="4">
        <v>2.0</v>
      </c>
      <c r="J269" s="1">
        <v>2.0</v>
      </c>
      <c r="K269" s="1">
        <v>0.0</v>
      </c>
      <c r="L269" s="1">
        <v>0.0</v>
      </c>
      <c r="M269" s="1">
        <v>2.0</v>
      </c>
      <c r="N269" s="1">
        <v>3.0</v>
      </c>
      <c r="O269" s="1">
        <v>2.0</v>
      </c>
      <c r="P269" s="1">
        <v>0.0</v>
      </c>
      <c r="Q269" s="1"/>
      <c r="R269" s="1"/>
      <c r="S269" s="1">
        <v>58.0</v>
      </c>
      <c r="T269" s="1" t="s">
        <v>28</v>
      </c>
      <c r="U269" s="7">
        <v>2.0</v>
      </c>
      <c r="V269" s="7">
        <v>5.0</v>
      </c>
      <c r="W269" s="7">
        <v>5.0</v>
      </c>
    </row>
    <row r="270">
      <c r="A270" s="3">
        <v>46224.53555555556</v>
      </c>
      <c r="B270" s="1" t="s">
        <v>652</v>
      </c>
      <c r="C270" s="1" t="s">
        <v>653</v>
      </c>
      <c r="D270" s="1">
        <v>1.0</v>
      </c>
      <c r="E270" s="1" t="s">
        <v>45</v>
      </c>
      <c r="F270" s="4">
        <v>1.0</v>
      </c>
      <c r="G270" s="4">
        <v>1.0</v>
      </c>
      <c r="H270" s="4">
        <v>2.0</v>
      </c>
      <c r="I270" s="4">
        <v>2.0</v>
      </c>
      <c r="J270" s="1">
        <v>4.0</v>
      </c>
      <c r="K270" s="1">
        <v>0.0</v>
      </c>
      <c r="L270" s="1">
        <v>-2.0</v>
      </c>
      <c r="M270" s="1">
        <v>2.0</v>
      </c>
      <c r="N270" s="1">
        <v>3.0</v>
      </c>
      <c r="O270" s="1">
        <v>2.0</v>
      </c>
      <c r="P270" s="1">
        <v>2.0</v>
      </c>
      <c r="Q270" s="1"/>
      <c r="R270" s="1"/>
      <c r="S270" s="1">
        <v>122.0</v>
      </c>
      <c r="T270" s="1" t="s">
        <v>34</v>
      </c>
      <c r="U270" s="7">
        <v>4.0</v>
      </c>
      <c r="V270" s="7">
        <v>5.0</v>
      </c>
      <c r="W270" s="7">
        <v>7.0</v>
      </c>
    </row>
    <row r="271">
      <c r="A271" s="3">
        <v>46224.620671296296</v>
      </c>
      <c r="B271" s="1" t="s">
        <v>654</v>
      </c>
      <c r="C271" s="1" t="s">
        <v>655</v>
      </c>
      <c r="D271" s="1">
        <v>2.0</v>
      </c>
      <c r="E271" s="1" t="s">
        <v>37</v>
      </c>
      <c r="F271" s="4">
        <v>0.0</v>
      </c>
      <c r="G271" s="4">
        <v>3.0</v>
      </c>
      <c r="H271" s="4">
        <v>3.0</v>
      </c>
      <c r="I271" s="4">
        <v>0.0</v>
      </c>
      <c r="J271" s="1">
        <v>2.0</v>
      </c>
      <c r="K271" s="1">
        <v>0.0</v>
      </c>
      <c r="L271" s="1">
        <v>0.0</v>
      </c>
      <c r="M271" s="1">
        <v>2.0</v>
      </c>
      <c r="N271" s="1">
        <v>2.0</v>
      </c>
      <c r="O271" s="1">
        <v>2.0</v>
      </c>
      <c r="P271" s="1">
        <v>3.0</v>
      </c>
      <c r="Q271" s="1" t="s">
        <v>656</v>
      </c>
      <c r="R271" s="1" t="s">
        <v>657</v>
      </c>
      <c r="S271" s="1">
        <v>690.0</v>
      </c>
      <c r="T271" s="1" t="s">
        <v>34</v>
      </c>
      <c r="U271" s="7">
        <v>5.0</v>
      </c>
      <c r="V271" s="7">
        <v>4.0</v>
      </c>
      <c r="W271" s="7">
        <v>9.0</v>
      </c>
    </row>
    <row r="272">
      <c r="A272" s="3">
        <v>46224.64423611111</v>
      </c>
      <c r="B272" s="1" t="s">
        <v>658</v>
      </c>
      <c r="C272" s="1" t="s">
        <v>659</v>
      </c>
      <c r="D272" s="1">
        <v>2.0</v>
      </c>
      <c r="E272" s="1" t="s">
        <v>102</v>
      </c>
      <c r="F272" s="4">
        <v>3.0</v>
      </c>
      <c r="G272" s="4">
        <v>1.0</v>
      </c>
      <c r="H272" s="4">
        <v>2.0</v>
      </c>
      <c r="I272" s="4">
        <v>0.0</v>
      </c>
      <c r="J272" s="1">
        <v>3.0</v>
      </c>
      <c r="K272" s="1">
        <v>-2.0</v>
      </c>
      <c r="L272" s="1">
        <v>2.0</v>
      </c>
      <c r="M272" s="1">
        <v>2.0</v>
      </c>
      <c r="N272" s="1">
        <v>2.0</v>
      </c>
      <c r="O272" s="1">
        <v>3.0</v>
      </c>
      <c r="P272" s="1">
        <v>2.0</v>
      </c>
      <c r="Q272" s="1"/>
      <c r="R272" s="1"/>
      <c r="S272" s="1">
        <v>81.0</v>
      </c>
      <c r="T272" s="1" t="s">
        <v>28</v>
      </c>
      <c r="U272" s="7">
        <v>4.0</v>
      </c>
      <c r="V272" s="7">
        <v>5.0</v>
      </c>
      <c r="W272" s="7">
        <v>7.0</v>
      </c>
    </row>
    <row r="273">
      <c r="A273" s="3">
        <v>46224.699791666666</v>
      </c>
      <c r="B273" s="1" t="s">
        <v>660</v>
      </c>
      <c r="C273" s="1" t="s">
        <v>259</v>
      </c>
      <c r="D273" s="1">
        <v>1.0</v>
      </c>
      <c r="E273" s="1" t="s">
        <v>102</v>
      </c>
      <c r="F273" s="4">
        <v>2.0</v>
      </c>
      <c r="G273" s="4">
        <v>2.0</v>
      </c>
      <c r="H273" s="4">
        <v>2.0</v>
      </c>
      <c r="I273" s="4">
        <v>0.0</v>
      </c>
      <c r="J273" s="1">
        <v>5.0</v>
      </c>
      <c r="K273" s="1">
        <v>1.0</v>
      </c>
      <c r="L273" s="1">
        <v>-2.0</v>
      </c>
      <c r="M273" s="1">
        <v>2.0</v>
      </c>
      <c r="N273" s="1">
        <v>4.0</v>
      </c>
      <c r="O273" s="1">
        <v>2.0</v>
      </c>
      <c r="P273" s="1">
        <v>0.0</v>
      </c>
      <c r="Q273" s="1" t="s">
        <v>661</v>
      </c>
      <c r="R273" s="1" t="s">
        <v>662</v>
      </c>
      <c r="S273" s="1">
        <v>152823.0</v>
      </c>
      <c r="T273" s="1" t="s">
        <v>34</v>
      </c>
      <c r="U273" s="7">
        <v>2.0</v>
      </c>
      <c r="V273" s="7">
        <v>6.0</v>
      </c>
      <c r="W273" s="7">
        <v>4.0</v>
      </c>
    </row>
    <row r="274">
      <c r="A274" s="3">
        <v>46224.933842592596</v>
      </c>
      <c r="B274" s="1" t="s">
        <v>663</v>
      </c>
      <c r="C274" s="1" t="s">
        <v>149</v>
      </c>
      <c r="D274" s="1">
        <v>2.0</v>
      </c>
      <c r="E274" s="1" t="s">
        <v>52</v>
      </c>
      <c r="F274" s="4">
        <v>0.0</v>
      </c>
      <c r="G274" s="4">
        <v>1.0</v>
      </c>
      <c r="H274" s="4">
        <v>1.0</v>
      </c>
      <c r="I274" s="4">
        <v>4.0</v>
      </c>
      <c r="J274" s="1">
        <v>4.0</v>
      </c>
      <c r="K274" s="1">
        <v>-1.0</v>
      </c>
      <c r="L274" s="1">
        <v>-2.0</v>
      </c>
      <c r="M274" s="1">
        <v>1.0</v>
      </c>
      <c r="N274" s="1">
        <v>3.0</v>
      </c>
      <c r="O274" s="1">
        <v>3.0</v>
      </c>
      <c r="P274" s="1">
        <v>1.0</v>
      </c>
      <c r="Q274" s="1"/>
      <c r="R274" s="1"/>
      <c r="S274" s="1">
        <v>70.0</v>
      </c>
      <c r="T274" s="1" t="s">
        <v>34</v>
      </c>
      <c r="U274" s="7">
        <v>2.0</v>
      </c>
      <c r="V274" s="7">
        <v>6.0</v>
      </c>
      <c r="W274" s="7">
        <v>4.0</v>
      </c>
    </row>
    <row r="275">
      <c r="A275" s="3">
        <v>46225.33630787037</v>
      </c>
      <c r="B275" s="1" t="s">
        <v>664</v>
      </c>
      <c r="C275" s="1" t="s">
        <v>175</v>
      </c>
      <c r="D275" s="1">
        <v>2.0</v>
      </c>
      <c r="E275" s="1" t="s">
        <v>90</v>
      </c>
      <c r="F275" s="4">
        <v>2.0</v>
      </c>
      <c r="G275" s="4">
        <v>2.0</v>
      </c>
      <c r="H275" s="4">
        <v>2.0</v>
      </c>
      <c r="I275" s="4">
        <v>0.0</v>
      </c>
      <c r="J275" s="1">
        <v>6.0</v>
      </c>
      <c r="K275" s="1">
        <v>2.0</v>
      </c>
      <c r="L275" s="1">
        <v>-1.0</v>
      </c>
      <c r="M275" s="1">
        <v>1.0</v>
      </c>
      <c r="N275" s="1">
        <v>3.0</v>
      </c>
      <c r="O275" s="1">
        <v>2.0</v>
      </c>
      <c r="P275" s="1">
        <v>1.0</v>
      </c>
      <c r="Q275" s="1" t="s">
        <v>665</v>
      </c>
      <c r="R275" s="1" t="s">
        <v>666</v>
      </c>
      <c r="S275" s="1">
        <v>280.0</v>
      </c>
      <c r="T275" s="1" t="s">
        <v>34</v>
      </c>
      <c r="U275" s="7">
        <v>2.0</v>
      </c>
      <c r="V275" s="7">
        <v>5.0</v>
      </c>
      <c r="W275" s="7">
        <v>5.0</v>
      </c>
    </row>
    <row r="276">
      <c r="A276" s="3">
        <v>46225.36984953703</v>
      </c>
      <c r="B276" s="1" t="s">
        <v>667</v>
      </c>
      <c r="C276" s="1" t="s">
        <v>114</v>
      </c>
      <c r="D276" s="1">
        <v>2.0</v>
      </c>
      <c r="E276" s="1" t="s">
        <v>85</v>
      </c>
      <c r="F276" s="4">
        <v>3.0</v>
      </c>
      <c r="G276" s="4">
        <v>2.0</v>
      </c>
      <c r="H276" s="4">
        <v>0.0</v>
      </c>
      <c r="I276" s="4">
        <v>1.0</v>
      </c>
      <c r="J276" s="1">
        <v>6.0</v>
      </c>
      <c r="K276" s="1">
        <v>2.0</v>
      </c>
      <c r="L276" s="1">
        <v>2.0</v>
      </c>
      <c r="M276" s="1">
        <v>2.0</v>
      </c>
      <c r="N276" s="1">
        <v>3.0</v>
      </c>
      <c r="O276" s="1">
        <v>3.0</v>
      </c>
      <c r="P276" s="1">
        <v>2.0</v>
      </c>
      <c r="Q276" s="1" t="s">
        <v>668</v>
      </c>
      <c r="R276" s="1"/>
      <c r="S276" s="1">
        <v>256.0</v>
      </c>
      <c r="T276" s="1" t="s">
        <v>28</v>
      </c>
      <c r="U276" s="7">
        <v>4.0</v>
      </c>
      <c r="V276" s="7">
        <v>6.0</v>
      </c>
      <c r="W276" s="7">
        <v>6.0</v>
      </c>
    </row>
    <row r="277">
      <c r="A277" s="3">
        <v>46225.52071759259</v>
      </c>
      <c r="B277" s="1" t="s">
        <v>669</v>
      </c>
      <c r="C277" s="1" t="s">
        <v>136</v>
      </c>
      <c r="D277" s="1">
        <v>2.0</v>
      </c>
      <c r="E277" s="1" t="s">
        <v>90</v>
      </c>
      <c r="F277" s="4">
        <v>0.0</v>
      </c>
      <c r="G277" s="4">
        <v>3.0</v>
      </c>
      <c r="H277" s="4">
        <v>2.0</v>
      </c>
      <c r="I277" s="4">
        <v>1.0</v>
      </c>
      <c r="J277" s="1">
        <v>6.0</v>
      </c>
      <c r="K277" s="1">
        <v>1.0</v>
      </c>
      <c r="L277" s="1">
        <v>0.0</v>
      </c>
      <c r="M277" s="1">
        <v>0.0</v>
      </c>
      <c r="N277" s="1">
        <v>4.0</v>
      </c>
      <c r="O277" s="1">
        <v>3.0</v>
      </c>
      <c r="P277" s="1">
        <v>1.0</v>
      </c>
      <c r="Q277" s="1"/>
      <c r="R277" s="1"/>
      <c r="S277" s="1">
        <v>252.0</v>
      </c>
      <c r="T277" s="1" t="s">
        <v>34</v>
      </c>
      <c r="U277" s="7">
        <v>1.0</v>
      </c>
      <c r="V277" s="7">
        <v>7.0</v>
      </c>
      <c r="W277" s="7">
        <v>2.0</v>
      </c>
    </row>
    <row r="278">
      <c r="A278" s="3">
        <v>46226.384108796294</v>
      </c>
      <c r="B278" s="1" t="s">
        <v>670</v>
      </c>
      <c r="C278" s="1" t="s">
        <v>440</v>
      </c>
      <c r="D278" s="1">
        <v>2.0</v>
      </c>
      <c r="E278" s="1" t="s">
        <v>102</v>
      </c>
      <c r="F278" s="4">
        <v>2.0</v>
      </c>
      <c r="G278" s="4">
        <v>1.0</v>
      </c>
      <c r="H278" s="4">
        <v>3.0</v>
      </c>
      <c r="I278" s="4">
        <v>0.0</v>
      </c>
      <c r="J278" s="1">
        <v>6.0</v>
      </c>
      <c r="K278" s="1">
        <v>2.0</v>
      </c>
      <c r="L278" s="1">
        <v>3.0</v>
      </c>
      <c r="M278" s="1">
        <v>2.0</v>
      </c>
      <c r="N278" s="1">
        <v>3.0</v>
      </c>
      <c r="O278" s="1">
        <v>2.0</v>
      </c>
      <c r="P278" s="1">
        <v>1.0</v>
      </c>
      <c r="Q278" s="1"/>
      <c r="R278" s="1"/>
      <c r="S278" s="1">
        <v>94.0</v>
      </c>
      <c r="T278" s="1" t="s">
        <v>34</v>
      </c>
      <c r="U278" s="7">
        <v>3.0</v>
      </c>
      <c r="V278" s="7">
        <v>5.0</v>
      </c>
      <c r="W278" s="7">
        <v>6.0</v>
      </c>
    </row>
    <row r="279">
      <c r="A279" s="3">
        <v>46228.134791666664</v>
      </c>
      <c r="B279" s="1" t="s">
        <v>671</v>
      </c>
      <c r="C279" s="1" t="s">
        <v>79</v>
      </c>
      <c r="D279" s="1">
        <v>2.0</v>
      </c>
      <c r="E279" s="1" t="s">
        <v>37</v>
      </c>
      <c r="F279" s="4">
        <v>3.0</v>
      </c>
      <c r="G279" s="4">
        <v>1.0</v>
      </c>
      <c r="H279" s="4">
        <v>2.0</v>
      </c>
      <c r="I279" s="4">
        <v>0.0</v>
      </c>
      <c r="J279" s="1">
        <v>3.0</v>
      </c>
      <c r="K279" s="1">
        <v>0.0</v>
      </c>
      <c r="L279" s="1">
        <v>2.0</v>
      </c>
      <c r="M279" s="1">
        <v>4.0</v>
      </c>
      <c r="N279" s="1">
        <v>2.0</v>
      </c>
      <c r="O279" s="1">
        <v>1.0</v>
      </c>
      <c r="P279" s="1">
        <v>3.0</v>
      </c>
      <c r="Q279" s="1"/>
      <c r="R279" s="1"/>
      <c r="S279" s="1">
        <v>63.0</v>
      </c>
      <c r="T279" s="1" t="s">
        <v>28</v>
      </c>
      <c r="U279" s="7">
        <v>7.0</v>
      </c>
      <c r="V279" s="7">
        <v>3.0</v>
      </c>
      <c r="W279" s="7">
        <v>12.0</v>
      </c>
    </row>
    <row r="280">
      <c r="A280" s="3">
        <v>46229.38212962963</v>
      </c>
      <c r="B280" s="1" t="s">
        <v>672</v>
      </c>
      <c r="C280" s="1" t="s">
        <v>183</v>
      </c>
      <c r="D280" s="1">
        <v>3.0</v>
      </c>
      <c r="E280" s="1" t="s">
        <v>184</v>
      </c>
      <c r="F280" s="4">
        <v>2.0</v>
      </c>
      <c r="G280" s="4">
        <v>1.0</v>
      </c>
      <c r="H280" s="4">
        <v>2.0</v>
      </c>
      <c r="I280" s="4">
        <v>1.0</v>
      </c>
      <c r="J280" s="1">
        <v>4.0</v>
      </c>
      <c r="K280" s="1">
        <v>2.0</v>
      </c>
      <c r="L280" s="1">
        <v>-2.0</v>
      </c>
      <c r="M280" s="1">
        <v>3.0</v>
      </c>
      <c r="N280" s="1">
        <v>2.0</v>
      </c>
      <c r="O280" s="1">
        <v>1.0</v>
      </c>
      <c r="P280" s="1">
        <v>2.0</v>
      </c>
      <c r="Q280" s="1"/>
      <c r="R280" s="1"/>
      <c r="S280" s="1">
        <v>137.0</v>
      </c>
      <c r="T280" s="1" t="s">
        <v>28</v>
      </c>
      <c r="U280" s="7">
        <v>5.0</v>
      </c>
      <c r="V280" s="7">
        <v>3.0</v>
      </c>
      <c r="W280" s="7">
        <v>10.0</v>
      </c>
    </row>
    <row r="281">
      <c r="A281" s="3">
        <v>46229.38359953704</v>
      </c>
      <c r="B281" s="1" t="s">
        <v>673</v>
      </c>
      <c r="C281" s="1" t="s">
        <v>89</v>
      </c>
      <c r="D281" s="1">
        <v>3.0</v>
      </c>
      <c r="E281" s="1" t="s">
        <v>85</v>
      </c>
      <c r="F281" s="4">
        <v>2.0</v>
      </c>
      <c r="G281" s="4">
        <v>3.0</v>
      </c>
      <c r="H281" s="4">
        <v>1.0</v>
      </c>
      <c r="I281" s="4">
        <v>0.0</v>
      </c>
      <c r="J281" s="1">
        <v>6.0</v>
      </c>
      <c r="K281" s="1">
        <v>2.0</v>
      </c>
      <c r="L281" s="1">
        <v>-2.0</v>
      </c>
      <c r="M281" s="1">
        <v>2.0</v>
      </c>
      <c r="N281" s="1">
        <v>2.0</v>
      </c>
      <c r="O281" s="1">
        <v>2.0</v>
      </c>
      <c r="P281" s="1">
        <v>2.0</v>
      </c>
      <c r="Q281" s="1"/>
      <c r="R281" s="1"/>
      <c r="S281" s="1">
        <v>58.0</v>
      </c>
      <c r="T281" s="1" t="s">
        <v>28</v>
      </c>
      <c r="U281" s="7">
        <v>4.0</v>
      </c>
      <c r="V281" s="7">
        <v>4.0</v>
      </c>
      <c r="W281" s="7">
        <v>8.0</v>
      </c>
    </row>
    <row r="282">
      <c r="A282" s="3">
        <v>46229.38581018519</v>
      </c>
      <c r="B282" s="1" t="s">
        <v>674</v>
      </c>
      <c r="C282" s="1" t="s">
        <v>124</v>
      </c>
      <c r="D282" s="1">
        <v>3.0</v>
      </c>
      <c r="E282" s="1" t="s">
        <v>85</v>
      </c>
      <c r="F282" s="4">
        <v>2.0</v>
      </c>
      <c r="G282" s="4">
        <v>3.0</v>
      </c>
      <c r="H282" s="4">
        <v>1.0</v>
      </c>
      <c r="I282" s="4">
        <v>0.0</v>
      </c>
      <c r="J282" s="1">
        <v>5.0</v>
      </c>
      <c r="K282" s="1">
        <v>2.0</v>
      </c>
      <c r="L282" s="1">
        <v>1.0</v>
      </c>
      <c r="M282" s="1">
        <v>2.0</v>
      </c>
      <c r="N282" s="1">
        <v>2.0</v>
      </c>
      <c r="O282" s="1">
        <v>2.0</v>
      </c>
      <c r="P282" s="1">
        <v>1.0</v>
      </c>
      <c r="Q282" s="1" t="s">
        <v>675</v>
      </c>
      <c r="R282" s="1" t="s">
        <v>676</v>
      </c>
      <c r="S282" s="1">
        <v>400.0</v>
      </c>
      <c r="T282" s="1" t="s">
        <v>34</v>
      </c>
      <c r="U282" s="7">
        <v>3.0</v>
      </c>
      <c r="V282" s="7">
        <v>4.0</v>
      </c>
      <c r="W282" s="7">
        <v>7.0</v>
      </c>
    </row>
    <row r="283">
      <c r="A283" s="3">
        <v>46229.386087962965</v>
      </c>
      <c r="B283" s="1" t="s">
        <v>677</v>
      </c>
      <c r="C283" s="1" t="s">
        <v>48</v>
      </c>
      <c r="D283" s="1">
        <v>3.0</v>
      </c>
      <c r="E283" s="1" t="s">
        <v>49</v>
      </c>
      <c r="F283" s="4">
        <v>2.0</v>
      </c>
      <c r="G283" s="4">
        <v>1.0</v>
      </c>
      <c r="H283" s="4">
        <v>3.0</v>
      </c>
      <c r="I283" s="4">
        <v>0.0</v>
      </c>
      <c r="J283" s="1">
        <v>5.0</v>
      </c>
      <c r="K283" s="1">
        <v>1.0</v>
      </c>
      <c r="L283" s="1">
        <v>1.0</v>
      </c>
      <c r="M283" s="1">
        <v>1.0</v>
      </c>
      <c r="N283" s="1">
        <v>3.0</v>
      </c>
      <c r="O283" s="1">
        <v>2.0</v>
      </c>
      <c r="P283" s="1">
        <v>3.0</v>
      </c>
      <c r="Q283" s="1" t="s">
        <v>678</v>
      </c>
      <c r="R283" s="1"/>
      <c r="S283" s="1">
        <v>128.0</v>
      </c>
      <c r="T283" s="1" t="s">
        <v>28</v>
      </c>
      <c r="U283" s="7">
        <v>4.0</v>
      </c>
      <c r="V283" s="7">
        <v>5.0</v>
      </c>
      <c r="W283" s="7">
        <v>7.0</v>
      </c>
    </row>
    <row r="284">
      <c r="A284" s="3">
        <v>46229.39165509259</v>
      </c>
      <c r="B284" s="1" t="s">
        <v>679</v>
      </c>
      <c r="C284" s="1" t="s">
        <v>446</v>
      </c>
      <c r="D284" s="1">
        <v>3.0</v>
      </c>
      <c r="E284" s="1" t="s">
        <v>26</v>
      </c>
      <c r="F284" s="4">
        <v>2.0</v>
      </c>
      <c r="G284" s="4">
        <v>3.0</v>
      </c>
      <c r="H284" s="4">
        <v>1.0</v>
      </c>
      <c r="I284" s="4">
        <v>0.0</v>
      </c>
      <c r="J284" s="1">
        <v>6.0</v>
      </c>
      <c r="K284" s="1">
        <v>1.0</v>
      </c>
      <c r="L284" s="1">
        <v>0.0</v>
      </c>
      <c r="M284" s="1">
        <v>0.0</v>
      </c>
      <c r="N284" s="1">
        <v>4.0</v>
      </c>
      <c r="O284" s="1">
        <v>4.0</v>
      </c>
      <c r="P284" s="1">
        <v>1.0</v>
      </c>
      <c r="Q284" s="1" t="s">
        <v>680</v>
      </c>
      <c r="R284" s="1"/>
      <c r="S284" s="1">
        <v>129.0</v>
      </c>
      <c r="T284" s="1" t="s">
        <v>28</v>
      </c>
      <c r="U284" s="7">
        <v>1.0</v>
      </c>
      <c r="V284" s="7">
        <v>8.0</v>
      </c>
      <c r="W284" s="7">
        <v>1.0</v>
      </c>
    </row>
    <row r="285">
      <c r="A285" s="3">
        <v>46229.39712962963</v>
      </c>
      <c r="B285" s="1" t="s">
        <v>681</v>
      </c>
      <c r="C285" s="1" t="s">
        <v>492</v>
      </c>
      <c r="D285" s="1">
        <v>3.0</v>
      </c>
      <c r="E285" s="1" t="s">
        <v>192</v>
      </c>
      <c r="F285" s="4">
        <v>0.0</v>
      </c>
      <c r="G285" s="4">
        <v>2.0</v>
      </c>
      <c r="H285" s="4">
        <v>1.0</v>
      </c>
      <c r="I285" s="4">
        <v>3.0</v>
      </c>
      <c r="J285" s="1">
        <v>5.0</v>
      </c>
      <c r="K285" s="1">
        <v>0.0</v>
      </c>
      <c r="L285" s="1">
        <v>-1.0</v>
      </c>
      <c r="M285" s="1">
        <v>3.0</v>
      </c>
      <c r="N285" s="1">
        <v>3.0</v>
      </c>
      <c r="O285" s="1">
        <v>2.0</v>
      </c>
      <c r="P285" s="1">
        <v>2.0</v>
      </c>
      <c r="Q285" s="1" t="s">
        <v>682</v>
      </c>
      <c r="R285" s="1"/>
      <c r="S285" s="1">
        <v>56.0</v>
      </c>
      <c r="T285" s="1" t="s">
        <v>28</v>
      </c>
      <c r="U285" s="7">
        <v>5.0</v>
      </c>
      <c r="V285" s="7">
        <v>5.0</v>
      </c>
      <c r="W285" s="7">
        <v>8.0</v>
      </c>
    </row>
    <row r="286">
      <c r="A286" s="3">
        <v>46229.39877314815</v>
      </c>
      <c r="B286" s="1" t="s">
        <v>683</v>
      </c>
      <c r="C286" s="1" t="s">
        <v>684</v>
      </c>
      <c r="D286" s="1">
        <v>3.0</v>
      </c>
      <c r="E286" s="1" t="s">
        <v>192</v>
      </c>
      <c r="F286" s="4">
        <v>0.0</v>
      </c>
      <c r="G286" s="4">
        <v>3.0</v>
      </c>
      <c r="H286" s="4">
        <v>3.0</v>
      </c>
      <c r="I286" s="4">
        <v>0.0</v>
      </c>
      <c r="J286" s="1">
        <v>5.0</v>
      </c>
      <c r="K286" s="1">
        <v>-1.0</v>
      </c>
      <c r="L286" s="1">
        <v>1.0</v>
      </c>
      <c r="M286" s="1">
        <v>2.0</v>
      </c>
      <c r="N286" s="1">
        <v>2.0</v>
      </c>
      <c r="O286" s="1">
        <v>2.0</v>
      </c>
      <c r="P286" s="1">
        <v>2.0</v>
      </c>
      <c r="Q286" s="1"/>
      <c r="R286" s="1"/>
      <c r="S286" s="1">
        <v>51.0</v>
      </c>
      <c r="T286" s="1" t="s">
        <v>28</v>
      </c>
      <c r="U286" s="7">
        <v>4.0</v>
      </c>
      <c r="V286" s="7">
        <v>4.0</v>
      </c>
      <c r="W286" s="7">
        <v>8.0</v>
      </c>
    </row>
    <row r="287">
      <c r="A287" s="3">
        <v>46229.398981481485</v>
      </c>
      <c r="B287" s="1" t="s">
        <v>685</v>
      </c>
      <c r="C287" s="1" t="s">
        <v>323</v>
      </c>
      <c r="D287" s="1">
        <v>3.0</v>
      </c>
      <c r="E287" s="1" t="s">
        <v>192</v>
      </c>
      <c r="F287" s="4">
        <v>4.0</v>
      </c>
      <c r="G287" s="4">
        <v>2.0</v>
      </c>
      <c r="H287" s="4">
        <v>0.0</v>
      </c>
      <c r="I287" s="4">
        <v>0.0</v>
      </c>
      <c r="J287" s="1">
        <v>7.0</v>
      </c>
      <c r="K287" s="1">
        <v>-2.0</v>
      </c>
      <c r="L287" s="1">
        <v>0.0</v>
      </c>
      <c r="M287" s="1">
        <v>2.0</v>
      </c>
      <c r="N287" s="1">
        <v>3.0</v>
      </c>
      <c r="O287" s="1">
        <v>2.0</v>
      </c>
      <c r="P287" s="1">
        <v>2.0</v>
      </c>
      <c r="Q287" s="1"/>
      <c r="R287" s="1"/>
      <c r="S287" s="1">
        <v>57.0</v>
      </c>
      <c r="T287" s="1" t="s">
        <v>34</v>
      </c>
      <c r="U287" s="7">
        <v>4.0</v>
      </c>
      <c r="V287" s="7">
        <v>5.0</v>
      </c>
      <c r="W287" s="7">
        <v>7.0</v>
      </c>
    </row>
    <row r="288">
      <c r="A288" s="3">
        <v>46229.401041666664</v>
      </c>
      <c r="B288" s="1" t="s">
        <v>686</v>
      </c>
      <c r="C288" s="1" t="s">
        <v>101</v>
      </c>
      <c r="D288" s="1">
        <v>3.0</v>
      </c>
      <c r="E288" s="1" t="s">
        <v>52</v>
      </c>
      <c r="F288" s="4">
        <v>1.0</v>
      </c>
      <c r="G288" s="4">
        <v>1.0</v>
      </c>
      <c r="H288" s="4">
        <v>4.0</v>
      </c>
      <c r="I288" s="4">
        <v>0.0</v>
      </c>
      <c r="J288" s="1">
        <v>5.0</v>
      </c>
      <c r="K288" s="1">
        <v>1.0</v>
      </c>
      <c r="L288" s="1">
        <v>-2.0</v>
      </c>
      <c r="M288" s="1">
        <v>2.0</v>
      </c>
      <c r="N288" s="1">
        <v>2.0</v>
      </c>
      <c r="O288" s="1">
        <v>1.0</v>
      </c>
      <c r="P288" s="1">
        <v>2.0</v>
      </c>
      <c r="Q288" s="1"/>
      <c r="R288" s="1"/>
      <c r="S288" s="1">
        <v>77.0</v>
      </c>
      <c r="T288" s="1" t="s">
        <v>28</v>
      </c>
      <c r="U288" s="7">
        <v>4.0</v>
      </c>
      <c r="V288" s="7">
        <v>3.0</v>
      </c>
      <c r="W288" s="7">
        <v>9.0</v>
      </c>
    </row>
    <row r="289">
      <c r="A289" s="3">
        <v>46229.4050462963</v>
      </c>
      <c r="B289" s="1" t="s">
        <v>687</v>
      </c>
      <c r="C289" s="1" t="s">
        <v>316</v>
      </c>
      <c r="D289" s="1">
        <v>3.0</v>
      </c>
      <c r="E289" s="1" t="s">
        <v>184</v>
      </c>
      <c r="F289" s="4">
        <v>2.0</v>
      </c>
      <c r="G289" s="4">
        <v>1.0</v>
      </c>
      <c r="H289" s="4">
        <v>3.0</v>
      </c>
      <c r="I289" s="4">
        <v>0.0</v>
      </c>
      <c r="J289" s="1">
        <v>3.0</v>
      </c>
      <c r="K289" s="1">
        <v>-1.0</v>
      </c>
      <c r="L289" s="1">
        <v>2.0</v>
      </c>
      <c r="M289" s="1">
        <v>4.0</v>
      </c>
      <c r="N289" s="1">
        <v>2.0</v>
      </c>
      <c r="O289" s="1">
        <v>1.0</v>
      </c>
      <c r="P289" s="1">
        <v>2.0</v>
      </c>
      <c r="Q289" s="1"/>
      <c r="R289" s="1"/>
      <c r="S289" s="1">
        <v>65.0</v>
      </c>
      <c r="T289" s="1" t="s">
        <v>28</v>
      </c>
      <c r="U289" s="7">
        <v>6.0</v>
      </c>
      <c r="V289" s="7">
        <v>3.0</v>
      </c>
      <c r="W289" s="7">
        <v>11.0</v>
      </c>
    </row>
    <row r="290">
      <c r="A290" s="3">
        <v>46229.41371527778</v>
      </c>
      <c r="B290" s="1" t="s">
        <v>688</v>
      </c>
      <c r="C290" s="1" t="s">
        <v>62</v>
      </c>
      <c r="D290" s="1">
        <v>3.0</v>
      </c>
      <c r="E290" s="1" t="s">
        <v>52</v>
      </c>
      <c r="F290" s="4">
        <v>5.0</v>
      </c>
      <c r="G290" s="4">
        <v>0.0</v>
      </c>
      <c r="H290" s="4">
        <v>1.0</v>
      </c>
      <c r="I290" s="4">
        <v>0.0</v>
      </c>
      <c r="J290" s="1">
        <v>3.0</v>
      </c>
      <c r="K290" s="1">
        <v>2.0</v>
      </c>
      <c r="L290" s="1">
        <v>2.0</v>
      </c>
      <c r="M290" s="1">
        <v>4.0</v>
      </c>
      <c r="N290" s="1">
        <v>1.0</v>
      </c>
      <c r="O290" s="1">
        <v>2.0</v>
      </c>
      <c r="P290" s="1">
        <v>4.0</v>
      </c>
      <c r="Q290" s="1"/>
      <c r="R290" s="1"/>
      <c r="S290" s="1">
        <v>151.0</v>
      </c>
      <c r="T290" s="1" t="s">
        <v>28</v>
      </c>
      <c r="U290" s="7">
        <v>8.0</v>
      </c>
      <c r="V290" s="7">
        <v>3.0</v>
      </c>
      <c r="W290" s="7">
        <v>13.0</v>
      </c>
    </row>
    <row r="291">
      <c r="A291" s="3">
        <v>46229.41594907407</v>
      </c>
      <c r="B291" s="1" t="s">
        <v>689</v>
      </c>
      <c r="C291" s="1" t="s">
        <v>72</v>
      </c>
      <c r="D291" s="1">
        <v>3.0</v>
      </c>
      <c r="E291" s="1" t="s">
        <v>31</v>
      </c>
      <c r="F291" s="4">
        <v>3.0</v>
      </c>
      <c r="G291" s="4">
        <v>2.0</v>
      </c>
      <c r="H291" s="4">
        <v>1.0</v>
      </c>
      <c r="I291" s="4">
        <v>0.0</v>
      </c>
      <c r="J291" s="1">
        <v>7.0</v>
      </c>
      <c r="K291" s="1">
        <v>2.0</v>
      </c>
      <c r="L291" s="1">
        <v>2.0</v>
      </c>
      <c r="M291" s="1">
        <v>0.0</v>
      </c>
      <c r="N291" s="1">
        <v>4.0</v>
      </c>
      <c r="O291" s="1">
        <v>3.0</v>
      </c>
      <c r="P291" s="1">
        <v>0.0</v>
      </c>
      <c r="Q291" s="1"/>
      <c r="R291" s="1"/>
      <c r="S291" s="1">
        <v>129.0</v>
      </c>
      <c r="T291" s="1" t="s">
        <v>28</v>
      </c>
      <c r="U291" s="7">
        <v>0.0</v>
      </c>
      <c r="V291" s="7">
        <v>7.0</v>
      </c>
      <c r="W291" s="7">
        <v>1.0</v>
      </c>
    </row>
    <row r="292">
      <c r="A292" s="3">
        <v>46229.45559027778</v>
      </c>
      <c r="B292" s="1" t="s">
        <v>690</v>
      </c>
      <c r="C292" s="1" t="s">
        <v>179</v>
      </c>
      <c r="D292" s="1">
        <v>3.0</v>
      </c>
      <c r="E292" s="1" t="s">
        <v>49</v>
      </c>
      <c r="F292" s="4">
        <v>2.0</v>
      </c>
      <c r="G292" s="4">
        <v>2.0</v>
      </c>
      <c r="H292" s="4">
        <v>1.0</v>
      </c>
      <c r="I292" s="4">
        <v>1.0</v>
      </c>
      <c r="J292" s="1">
        <v>6.0</v>
      </c>
      <c r="K292" s="1">
        <v>1.0</v>
      </c>
      <c r="L292" s="1">
        <v>2.0</v>
      </c>
      <c r="M292" s="1">
        <v>2.0</v>
      </c>
      <c r="N292" s="1">
        <v>2.0</v>
      </c>
      <c r="O292" s="1">
        <v>3.0</v>
      </c>
      <c r="P292" s="1">
        <v>1.0</v>
      </c>
      <c r="Q292" s="1"/>
      <c r="R292" s="1"/>
      <c r="S292" s="1">
        <v>88.0</v>
      </c>
      <c r="T292" s="1" t="s">
        <v>28</v>
      </c>
      <c r="U292" s="7">
        <v>3.0</v>
      </c>
      <c r="V292" s="7">
        <v>5.0</v>
      </c>
      <c r="W292" s="7">
        <v>6.0</v>
      </c>
    </row>
    <row r="293">
      <c r="A293" s="3">
        <v>46229.47577546296</v>
      </c>
      <c r="B293" s="1" t="s">
        <v>691</v>
      </c>
      <c r="C293" s="1" t="s">
        <v>189</v>
      </c>
      <c r="D293" s="1">
        <v>3.0</v>
      </c>
      <c r="E293" s="1" t="s">
        <v>184</v>
      </c>
      <c r="F293" s="4">
        <v>0.0</v>
      </c>
      <c r="G293" s="4">
        <v>3.0</v>
      </c>
      <c r="H293" s="4">
        <v>3.0</v>
      </c>
      <c r="I293" s="4">
        <v>0.0</v>
      </c>
      <c r="J293" s="1">
        <v>5.0</v>
      </c>
      <c r="K293" s="1">
        <v>1.0</v>
      </c>
      <c r="L293" s="1">
        <v>-3.0</v>
      </c>
      <c r="M293" s="1">
        <v>2.0</v>
      </c>
      <c r="N293" s="1">
        <v>2.0</v>
      </c>
      <c r="O293" s="1">
        <v>0.0</v>
      </c>
      <c r="P293" s="1">
        <v>0.0</v>
      </c>
      <c r="Q293" s="1"/>
      <c r="R293" s="1"/>
      <c r="S293" s="1">
        <v>63.0</v>
      </c>
      <c r="T293" s="1" t="s">
        <v>34</v>
      </c>
      <c r="U293" s="7">
        <v>2.0</v>
      </c>
      <c r="V293" s="7">
        <v>2.0</v>
      </c>
      <c r="W293" s="7">
        <v>8.0</v>
      </c>
    </row>
    <row r="294">
      <c r="A294" s="3">
        <v>46229.47756944445</v>
      </c>
      <c r="B294" s="1" t="s">
        <v>692</v>
      </c>
      <c r="C294" s="1" t="s">
        <v>106</v>
      </c>
      <c r="D294" s="1">
        <v>3.0</v>
      </c>
      <c r="E294" s="1" t="s">
        <v>90</v>
      </c>
      <c r="F294" s="4">
        <v>3.0</v>
      </c>
      <c r="G294" s="4">
        <v>0.0</v>
      </c>
      <c r="H294" s="4">
        <v>3.0</v>
      </c>
      <c r="I294" s="4">
        <v>0.0</v>
      </c>
      <c r="J294" s="1">
        <v>3.0</v>
      </c>
      <c r="K294" s="1">
        <v>-2.0</v>
      </c>
      <c r="L294" s="1">
        <v>2.0</v>
      </c>
      <c r="M294" s="1">
        <v>1.0</v>
      </c>
      <c r="N294" s="1">
        <v>2.0</v>
      </c>
      <c r="O294" s="1">
        <v>3.0</v>
      </c>
      <c r="P294" s="1">
        <v>1.0</v>
      </c>
      <c r="Q294" s="1"/>
      <c r="R294" s="1"/>
      <c r="S294" s="1">
        <v>55.0</v>
      </c>
      <c r="T294" s="1" t="s">
        <v>28</v>
      </c>
      <c r="U294" s="7">
        <v>2.0</v>
      </c>
      <c r="V294" s="7">
        <v>5.0</v>
      </c>
      <c r="W294" s="7">
        <v>5.0</v>
      </c>
    </row>
    <row r="295">
      <c r="A295" s="3">
        <v>46229.50690972222</v>
      </c>
      <c r="B295" s="1" t="s">
        <v>693</v>
      </c>
      <c r="C295" s="1" t="s">
        <v>244</v>
      </c>
      <c r="D295" s="1">
        <v>3.0</v>
      </c>
      <c r="E295" s="1" t="s">
        <v>31</v>
      </c>
      <c r="F295" s="4">
        <v>3.0</v>
      </c>
      <c r="G295" s="4">
        <v>0.0</v>
      </c>
      <c r="H295" s="4">
        <v>3.0</v>
      </c>
      <c r="I295" s="4">
        <v>0.0</v>
      </c>
      <c r="J295" s="1">
        <v>4.0</v>
      </c>
      <c r="K295" s="1">
        <v>0.0</v>
      </c>
      <c r="L295" s="1">
        <v>2.0</v>
      </c>
      <c r="M295" s="1">
        <v>0.0</v>
      </c>
      <c r="N295" s="1">
        <v>3.0</v>
      </c>
      <c r="O295" s="1">
        <v>3.0</v>
      </c>
      <c r="P295" s="1">
        <v>0.0</v>
      </c>
      <c r="Q295" s="1"/>
      <c r="R295" s="1"/>
      <c r="S295" s="1">
        <v>50.0</v>
      </c>
      <c r="T295" s="1" t="s">
        <v>34</v>
      </c>
      <c r="U295" s="7">
        <v>0.0</v>
      </c>
      <c r="V295" s="7">
        <v>6.0</v>
      </c>
      <c r="W295" s="7">
        <v>2.0</v>
      </c>
    </row>
    <row r="296">
      <c r="A296" s="3">
        <v>46229.51127314815</v>
      </c>
      <c r="B296" s="1" t="s">
        <v>694</v>
      </c>
      <c r="C296" s="1" t="s">
        <v>286</v>
      </c>
      <c r="D296" s="1">
        <v>3.0</v>
      </c>
      <c r="E296" s="1" t="s">
        <v>184</v>
      </c>
      <c r="F296" s="4">
        <v>1.0</v>
      </c>
      <c r="G296" s="4">
        <v>2.0</v>
      </c>
      <c r="H296" s="4">
        <v>3.0</v>
      </c>
      <c r="I296" s="4">
        <v>0.0</v>
      </c>
      <c r="J296" s="1">
        <v>2.0</v>
      </c>
      <c r="K296" s="1">
        <v>-2.0</v>
      </c>
      <c r="L296" s="1">
        <v>-1.0</v>
      </c>
      <c r="M296" s="1">
        <v>3.0</v>
      </c>
      <c r="N296" s="1">
        <v>4.0</v>
      </c>
      <c r="O296" s="1">
        <v>2.0</v>
      </c>
      <c r="P296" s="1">
        <v>2.0</v>
      </c>
      <c r="Q296" s="1" t="s">
        <v>695</v>
      </c>
      <c r="R296" s="1"/>
      <c r="S296" s="1">
        <v>81.0</v>
      </c>
      <c r="T296" s="1" t="s">
        <v>34</v>
      </c>
      <c r="U296" s="7">
        <v>5.0</v>
      </c>
      <c r="V296" s="7">
        <v>6.0</v>
      </c>
      <c r="W296" s="7">
        <v>7.0</v>
      </c>
    </row>
    <row r="297">
      <c r="A297" s="3">
        <v>46229.51274305556</v>
      </c>
      <c r="B297" s="1" t="s">
        <v>696</v>
      </c>
      <c r="C297" s="1" t="s">
        <v>356</v>
      </c>
      <c r="D297" s="1">
        <v>3.0</v>
      </c>
      <c r="E297" s="1" t="s">
        <v>184</v>
      </c>
      <c r="F297" s="4">
        <v>1.0</v>
      </c>
      <c r="G297" s="4">
        <v>3.0</v>
      </c>
      <c r="H297" s="4">
        <v>0.0</v>
      </c>
      <c r="I297" s="4">
        <v>2.0</v>
      </c>
      <c r="J297" s="1">
        <v>2.0</v>
      </c>
      <c r="K297" s="1">
        <v>-2.0</v>
      </c>
      <c r="L297" s="1">
        <v>0.0</v>
      </c>
      <c r="M297" s="1">
        <v>2.0</v>
      </c>
      <c r="N297" s="1">
        <v>3.0</v>
      </c>
      <c r="O297" s="1">
        <v>2.0</v>
      </c>
      <c r="P297" s="1">
        <v>2.0</v>
      </c>
      <c r="Q297" s="1"/>
      <c r="R297" s="1"/>
      <c r="S297" s="1">
        <v>1819.0</v>
      </c>
      <c r="T297" s="1" t="s">
        <v>34</v>
      </c>
      <c r="U297" s="7">
        <v>4.0</v>
      </c>
      <c r="V297" s="7">
        <v>5.0</v>
      </c>
      <c r="W297" s="7">
        <v>7.0</v>
      </c>
    </row>
    <row r="298">
      <c r="A298" s="3">
        <v>46229.51986111111</v>
      </c>
      <c r="B298" s="1" t="s">
        <v>697</v>
      </c>
      <c r="C298" s="1" t="s">
        <v>140</v>
      </c>
      <c r="D298" s="1">
        <v>3.0</v>
      </c>
      <c r="E298" s="1" t="s">
        <v>90</v>
      </c>
      <c r="F298" s="4">
        <v>0.0</v>
      </c>
      <c r="G298" s="4">
        <v>0.0</v>
      </c>
      <c r="H298" s="4">
        <v>2.0</v>
      </c>
      <c r="I298" s="4">
        <v>4.0</v>
      </c>
      <c r="J298" s="1">
        <v>4.0</v>
      </c>
      <c r="K298" s="1">
        <v>-1.0</v>
      </c>
      <c r="L298" s="1">
        <v>-3.0</v>
      </c>
      <c r="M298" s="1">
        <v>0.0</v>
      </c>
      <c r="N298" s="1">
        <v>4.0</v>
      </c>
      <c r="O298" s="1">
        <v>2.0</v>
      </c>
      <c r="P298" s="1">
        <v>0.0</v>
      </c>
      <c r="Q298" s="1" t="s">
        <v>698</v>
      </c>
      <c r="R298" s="1" t="s">
        <v>699</v>
      </c>
      <c r="S298" s="1">
        <v>964.0</v>
      </c>
      <c r="T298" s="1" t="s">
        <v>28</v>
      </c>
      <c r="U298" s="7">
        <v>0.0</v>
      </c>
      <c r="V298" s="7">
        <v>6.0</v>
      </c>
      <c r="W298" s="7">
        <v>2.0</v>
      </c>
    </row>
    <row r="299">
      <c r="A299" s="3">
        <v>46229.531909722224</v>
      </c>
      <c r="B299" s="1" t="s">
        <v>700</v>
      </c>
      <c r="C299" s="1" t="s">
        <v>175</v>
      </c>
      <c r="D299" s="1">
        <v>3.0</v>
      </c>
      <c r="E299" s="1" t="s">
        <v>90</v>
      </c>
      <c r="F299" s="4">
        <v>1.0</v>
      </c>
      <c r="G299" s="4">
        <v>2.0</v>
      </c>
      <c r="H299" s="4">
        <v>3.0</v>
      </c>
      <c r="I299" s="4">
        <v>0.0</v>
      </c>
      <c r="J299" s="1">
        <v>6.0</v>
      </c>
      <c r="K299" s="1">
        <v>2.0</v>
      </c>
      <c r="L299" s="1">
        <v>-2.0</v>
      </c>
      <c r="M299" s="1">
        <v>2.0</v>
      </c>
      <c r="N299" s="1">
        <v>3.0</v>
      </c>
      <c r="O299" s="1">
        <v>3.0</v>
      </c>
      <c r="P299" s="1">
        <v>1.0</v>
      </c>
      <c r="Q299" s="1"/>
      <c r="R299" s="1"/>
      <c r="S299" s="1">
        <v>114.0</v>
      </c>
      <c r="T299" s="1" t="s">
        <v>28</v>
      </c>
      <c r="U299" s="7">
        <v>3.0</v>
      </c>
      <c r="V299" s="7">
        <v>6.0</v>
      </c>
      <c r="W299" s="7">
        <v>5.0</v>
      </c>
    </row>
    <row r="300">
      <c r="A300" s="3">
        <v>46229.541400462964</v>
      </c>
      <c r="B300" s="1" t="s">
        <v>701</v>
      </c>
      <c r="C300" s="1" t="s">
        <v>51</v>
      </c>
      <c r="D300" s="1">
        <v>3.0</v>
      </c>
      <c r="E300" s="1" t="s">
        <v>45</v>
      </c>
      <c r="F300" s="4">
        <v>2.0</v>
      </c>
      <c r="G300" s="4">
        <v>3.0</v>
      </c>
      <c r="H300" s="4">
        <v>1.0</v>
      </c>
      <c r="I300" s="4">
        <v>0.0</v>
      </c>
      <c r="J300" s="1">
        <v>6.0</v>
      </c>
      <c r="K300" s="1">
        <v>1.0</v>
      </c>
      <c r="L300" s="1">
        <v>1.0</v>
      </c>
      <c r="M300" s="1">
        <v>1.0</v>
      </c>
      <c r="N300" s="1">
        <v>3.0</v>
      </c>
      <c r="O300" s="1">
        <v>3.0</v>
      </c>
      <c r="P300" s="1">
        <v>1.0</v>
      </c>
      <c r="Q300" s="1"/>
      <c r="R300" s="1"/>
      <c r="S300" s="1">
        <v>86.0</v>
      </c>
      <c r="T300" s="1" t="s">
        <v>28</v>
      </c>
      <c r="U300" s="7">
        <v>2.0</v>
      </c>
      <c r="V300" s="7">
        <v>6.0</v>
      </c>
      <c r="W300" s="7">
        <v>4.0</v>
      </c>
    </row>
    <row r="301">
      <c r="A301" s="3">
        <v>46229.555081018516</v>
      </c>
      <c r="B301" s="1" t="s">
        <v>702</v>
      </c>
      <c r="C301" s="1" t="s">
        <v>291</v>
      </c>
      <c r="D301" s="1">
        <v>3.0</v>
      </c>
      <c r="E301" s="1" t="s">
        <v>184</v>
      </c>
      <c r="F301" s="4">
        <v>4.0</v>
      </c>
      <c r="G301" s="4">
        <v>1.0</v>
      </c>
      <c r="H301" s="4">
        <v>1.0</v>
      </c>
      <c r="I301" s="4">
        <v>0.0</v>
      </c>
      <c r="J301" s="1">
        <v>5.0</v>
      </c>
      <c r="K301" s="1">
        <v>-2.0</v>
      </c>
      <c r="L301" s="1">
        <v>2.0</v>
      </c>
      <c r="M301" s="1">
        <v>3.0</v>
      </c>
      <c r="N301" s="1">
        <v>2.0</v>
      </c>
      <c r="O301" s="1">
        <v>2.0</v>
      </c>
      <c r="P301" s="1">
        <v>2.0</v>
      </c>
      <c r="Q301" s="1" t="s">
        <v>703</v>
      </c>
      <c r="R301" s="1" t="s">
        <v>704</v>
      </c>
      <c r="S301" s="1">
        <v>234.0</v>
      </c>
      <c r="T301" s="1" t="s">
        <v>34</v>
      </c>
      <c r="U301" s="7">
        <v>5.0</v>
      </c>
      <c r="V301" s="7">
        <v>4.0</v>
      </c>
      <c r="W301" s="7">
        <v>9.0</v>
      </c>
    </row>
    <row r="302">
      <c r="A302" s="3">
        <v>46229.55670138889</v>
      </c>
      <c r="B302" s="1" t="s">
        <v>705</v>
      </c>
      <c r="C302" s="1" t="s">
        <v>291</v>
      </c>
      <c r="D302" s="1">
        <v>2.0</v>
      </c>
      <c r="E302" s="1" t="s">
        <v>184</v>
      </c>
      <c r="F302" s="4">
        <v>3.0</v>
      </c>
      <c r="G302" s="4">
        <v>1.0</v>
      </c>
      <c r="H302" s="4">
        <v>2.0</v>
      </c>
      <c r="I302" s="4">
        <v>0.0</v>
      </c>
      <c r="J302" s="1">
        <v>3.0</v>
      </c>
      <c r="K302" s="1">
        <v>-2.0</v>
      </c>
      <c r="L302" s="1">
        <v>2.0</v>
      </c>
      <c r="M302" s="1">
        <v>3.0</v>
      </c>
      <c r="N302" s="1">
        <v>2.0</v>
      </c>
      <c r="O302" s="1">
        <v>2.0</v>
      </c>
      <c r="P302" s="1">
        <v>2.0</v>
      </c>
      <c r="Q302" s="1" t="s">
        <v>706</v>
      </c>
      <c r="R302" s="1" t="s">
        <v>707</v>
      </c>
      <c r="S302" s="1">
        <v>69.0</v>
      </c>
      <c r="T302" s="1" t="s">
        <v>34</v>
      </c>
      <c r="U302" s="7">
        <v>5.0</v>
      </c>
      <c r="V302" s="7">
        <v>4.0</v>
      </c>
      <c r="W302" s="7">
        <v>9.0</v>
      </c>
    </row>
    <row r="303">
      <c r="A303" s="3">
        <v>46229.557592592595</v>
      </c>
      <c r="B303" s="1" t="s">
        <v>708</v>
      </c>
      <c r="C303" s="1" t="s">
        <v>474</v>
      </c>
      <c r="D303" s="1">
        <v>3.0</v>
      </c>
      <c r="E303" s="1" t="s">
        <v>192</v>
      </c>
      <c r="F303" s="4">
        <v>0.0</v>
      </c>
      <c r="G303" s="4">
        <v>0.0</v>
      </c>
      <c r="H303" s="4">
        <v>6.0</v>
      </c>
      <c r="I303" s="4">
        <v>0.0</v>
      </c>
      <c r="J303" s="1">
        <v>4.0</v>
      </c>
      <c r="K303" s="1">
        <v>0.0</v>
      </c>
      <c r="L303" s="1">
        <v>0.0</v>
      </c>
      <c r="M303" s="1">
        <v>2.0</v>
      </c>
      <c r="N303" s="1">
        <v>2.0</v>
      </c>
      <c r="O303" s="1">
        <v>2.0</v>
      </c>
      <c r="P303" s="1">
        <v>2.0</v>
      </c>
      <c r="Q303" s="1"/>
      <c r="R303" s="1"/>
      <c r="S303" s="1">
        <v>29.0</v>
      </c>
      <c r="T303" s="1" t="s">
        <v>28</v>
      </c>
      <c r="U303" s="7">
        <v>4.0</v>
      </c>
      <c r="V303" s="7">
        <v>4.0</v>
      </c>
      <c r="W303" s="7">
        <v>8.0</v>
      </c>
    </row>
    <row r="304">
      <c r="A304" s="3">
        <v>46229.56083333334</v>
      </c>
      <c r="B304" s="1" t="s">
        <v>709</v>
      </c>
      <c r="C304" s="1" t="s">
        <v>365</v>
      </c>
      <c r="D304" s="1">
        <v>3.0</v>
      </c>
      <c r="E304" s="1" t="s">
        <v>184</v>
      </c>
      <c r="F304" s="4">
        <v>3.0</v>
      </c>
      <c r="G304" s="4">
        <v>0.0</v>
      </c>
      <c r="H304" s="4">
        <v>3.0</v>
      </c>
      <c r="I304" s="4">
        <v>0.0</v>
      </c>
      <c r="J304" s="1">
        <v>1.0</v>
      </c>
      <c r="K304" s="1">
        <v>-3.0</v>
      </c>
      <c r="L304" s="1">
        <v>-1.0</v>
      </c>
      <c r="M304" s="1">
        <v>3.0</v>
      </c>
      <c r="N304" s="1">
        <v>1.0</v>
      </c>
      <c r="O304" s="1">
        <v>1.0</v>
      </c>
      <c r="P304" s="1">
        <v>3.0</v>
      </c>
      <c r="Q304" s="1"/>
      <c r="R304" s="1"/>
      <c r="S304" s="1">
        <v>36.0</v>
      </c>
      <c r="T304" s="1" t="s">
        <v>34</v>
      </c>
      <c r="U304" s="7">
        <v>6.0</v>
      </c>
      <c r="V304" s="7">
        <v>2.0</v>
      </c>
      <c r="W304" s="7">
        <v>12.0</v>
      </c>
    </row>
    <row r="305">
      <c r="A305" s="3">
        <v>46229.56239583333</v>
      </c>
      <c r="B305" s="1" t="s">
        <v>710</v>
      </c>
      <c r="C305" s="1" t="s">
        <v>76</v>
      </c>
      <c r="D305" s="1">
        <v>3.0</v>
      </c>
      <c r="E305" s="1" t="s">
        <v>52</v>
      </c>
      <c r="F305" s="4">
        <v>1.0</v>
      </c>
      <c r="G305" s="4">
        <v>2.0</v>
      </c>
      <c r="H305" s="4">
        <v>2.0</v>
      </c>
      <c r="I305" s="4">
        <v>1.0</v>
      </c>
      <c r="J305" s="1">
        <v>5.0</v>
      </c>
      <c r="K305" s="1">
        <v>1.0</v>
      </c>
      <c r="L305" s="1">
        <v>0.0</v>
      </c>
      <c r="M305" s="1">
        <v>1.0</v>
      </c>
      <c r="N305" s="1">
        <v>4.0</v>
      </c>
      <c r="O305" s="1">
        <v>3.0</v>
      </c>
      <c r="P305" s="1">
        <v>1.0</v>
      </c>
      <c r="Q305" s="1" t="s">
        <v>711</v>
      </c>
      <c r="R305" s="1"/>
      <c r="S305" s="1">
        <v>148.0</v>
      </c>
      <c r="T305" s="1" t="s">
        <v>34</v>
      </c>
      <c r="U305" s="7">
        <v>2.0</v>
      </c>
      <c r="V305" s="7">
        <v>7.0</v>
      </c>
      <c r="W305" s="7">
        <v>3.0</v>
      </c>
    </row>
    <row r="306">
      <c r="A306" s="3">
        <v>46229.57261574074</v>
      </c>
      <c r="B306" s="1" t="s">
        <v>712</v>
      </c>
      <c r="C306" s="1" t="s">
        <v>187</v>
      </c>
      <c r="D306" s="1">
        <v>3.0</v>
      </c>
      <c r="E306" s="1" t="s">
        <v>184</v>
      </c>
      <c r="F306" s="4">
        <v>1.0</v>
      </c>
      <c r="G306" s="4">
        <v>2.0</v>
      </c>
      <c r="H306" s="4">
        <v>3.0</v>
      </c>
      <c r="I306" s="4">
        <v>0.0</v>
      </c>
      <c r="J306" s="1">
        <v>4.0</v>
      </c>
      <c r="K306" s="1">
        <v>0.0</v>
      </c>
      <c r="L306" s="1">
        <v>1.0</v>
      </c>
      <c r="M306" s="1">
        <v>1.0</v>
      </c>
      <c r="N306" s="1">
        <v>3.0</v>
      </c>
      <c r="O306" s="1">
        <v>3.0</v>
      </c>
      <c r="P306" s="1">
        <v>1.0</v>
      </c>
      <c r="Q306" s="1"/>
      <c r="R306" s="1"/>
      <c r="S306" s="1">
        <v>91.0</v>
      </c>
      <c r="T306" s="1" t="s">
        <v>28</v>
      </c>
      <c r="U306" s="7">
        <v>2.0</v>
      </c>
      <c r="V306" s="7">
        <v>6.0</v>
      </c>
      <c r="W306" s="7">
        <v>4.0</v>
      </c>
    </row>
    <row r="307">
      <c r="A307" s="3">
        <v>46229.584965277776</v>
      </c>
      <c r="B307" s="1" t="s">
        <v>713</v>
      </c>
      <c r="C307" s="1" t="s">
        <v>79</v>
      </c>
      <c r="D307" s="1">
        <v>3.0</v>
      </c>
      <c r="E307" s="1" t="s">
        <v>37</v>
      </c>
      <c r="F307" s="4">
        <v>1.0</v>
      </c>
      <c r="G307" s="4">
        <v>3.0</v>
      </c>
      <c r="H307" s="4">
        <v>1.0</v>
      </c>
      <c r="I307" s="4">
        <v>1.0</v>
      </c>
      <c r="J307" s="1">
        <v>6.0</v>
      </c>
      <c r="K307" s="1">
        <v>1.0</v>
      </c>
      <c r="L307" s="1">
        <v>0.0</v>
      </c>
      <c r="M307" s="1">
        <v>2.0</v>
      </c>
      <c r="N307" s="1">
        <v>2.0</v>
      </c>
      <c r="O307" s="1">
        <v>2.0</v>
      </c>
      <c r="P307" s="1">
        <v>1.0</v>
      </c>
      <c r="Q307" s="1"/>
      <c r="R307" s="1"/>
      <c r="S307" s="1">
        <v>62.0</v>
      </c>
      <c r="T307" s="1" t="s">
        <v>34</v>
      </c>
      <c r="U307" s="7">
        <v>3.0</v>
      </c>
      <c r="V307" s="7">
        <v>4.0</v>
      </c>
      <c r="W307" s="7">
        <v>7.0</v>
      </c>
    </row>
    <row r="308">
      <c r="A308" s="3">
        <v>46229.59496527778</v>
      </c>
      <c r="B308" s="1" t="s">
        <v>714</v>
      </c>
      <c r="C308" s="1" t="s">
        <v>30</v>
      </c>
      <c r="D308" s="1">
        <v>3.0</v>
      </c>
      <c r="E308" s="1" t="s">
        <v>31</v>
      </c>
      <c r="F308" s="4">
        <v>2.0</v>
      </c>
      <c r="G308" s="4">
        <v>2.0</v>
      </c>
      <c r="H308" s="4">
        <v>2.0</v>
      </c>
      <c r="I308" s="4">
        <v>0.0</v>
      </c>
      <c r="J308" s="1">
        <v>5.0</v>
      </c>
      <c r="K308" s="1">
        <v>1.0</v>
      </c>
      <c r="L308" s="1">
        <v>0.0</v>
      </c>
      <c r="M308" s="1">
        <v>2.0</v>
      </c>
      <c r="N308" s="1">
        <v>3.0</v>
      </c>
      <c r="O308" s="1">
        <v>3.0</v>
      </c>
      <c r="P308" s="1">
        <v>1.0</v>
      </c>
      <c r="Q308" s="1" t="s">
        <v>715</v>
      </c>
      <c r="R308" s="1" t="s">
        <v>716</v>
      </c>
      <c r="S308" s="1">
        <v>234.0</v>
      </c>
      <c r="T308" s="1" t="s">
        <v>34</v>
      </c>
      <c r="U308" s="7">
        <v>3.0</v>
      </c>
      <c r="V308" s="7">
        <v>6.0</v>
      </c>
      <c r="W308" s="7">
        <v>5.0</v>
      </c>
    </row>
    <row r="309">
      <c r="A309" s="3">
        <v>46229.62459490741</v>
      </c>
      <c r="B309" s="1" t="s">
        <v>717</v>
      </c>
      <c r="C309" s="1" t="s">
        <v>206</v>
      </c>
      <c r="D309" s="1">
        <v>3.0</v>
      </c>
      <c r="E309" s="1" t="s">
        <v>192</v>
      </c>
      <c r="F309" s="4">
        <v>6.0</v>
      </c>
      <c r="G309" s="4">
        <v>0.0</v>
      </c>
      <c r="H309" s="4">
        <v>0.0</v>
      </c>
      <c r="I309" s="4">
        <v>0.0</v>
      </c>
      <c r="J309" s="1">
        <v>1.0</v>
      </c>
      <c r="K309" s="1">
        <v>0.0</v>
      </c>
      <c r="L309" s="1">
        <v>3.0</v>
      </c>
      <c r="M309" s="1">
        <v>4.0</v>
      </c>
      <c r="N309" s="1">
        <v>1.0</v>
      </c>
      <c r="O309" s="1">
        <v>1.0</v>
      </c>
      <c r="P309" s="1">
        <v>3.0</v>
      </c>
      <c r="Q309" s="1"/>
      <c r="R309" s="1"/>
      <c r="S309" s="1">
        <v>42.0</v>
      </c>
      <c r="T309" s="1" t="s">
        <v>28</v>
      </c>
      <c r="U309" s="7">
        <v>7.0</v>
      </c>
      <c r="V309" s="7">
        <v>2.0</v>
      </c>
      <c r="W309" s="7">
        <v>13.0</v>
      </c>
    </row>
    <row r="310">
      <c r="A310" s="3">
        <v>46229.64706018518</v>
      </c>
      <c r="B310" s="1" t="s">
        <v>718</v>
      </c>
      <c r="C310" s="1" t="s">
        <v>526</v>
      </c>
      <c r="D310" s="1">
        <v>3.0</v>
      </c>
      <c r="E310" s="1" t="s">
        <v>192</v>
      </c>
      <c r="F310" s="4">
        <v>3.0</v>
      </c>
      <c r="G310" s="4">
        <v>2.0</v>
      </c>
      <c r="H310" s="4">
        <v>1.0</v>
      </c>
      <c r="I310" s="4">
        <v>0.0</v>
      </c>
      <c r="J310" s="1">
        <v>3.0</v>
      </c>
      <c r="K310" s="1">
        <v>-2.0</v>
      </c>
      <c r="L310" s="1">
        <v>-1.0</v>
      </c>
      <c r="M310" s="1">
        <v>0.0</v>
      </c>
      <c r="N310" s="1">
        <v>3.0</v>
      </c>
      <c r="O310" s="1">
        <v>2.0</v>
      </c>
      <c r="P310" s="1">
        <v>1.0</v>
      </c>
      <c r="Q310" s="1"/>
      <c r="R310" s="1"/>
      <c r="S310" s="1">
        <v>59.0</v>
      </c>
      <c r="T310" s="1" t="s">
        <v>28</v>
      </c>
      <c r="U310" s="7">
        <v>1.0</v>
      </c>
      <c r="V310" s="7">
        <v>5.0</v>
      </c>
      <c r="W310" s="7">
        <v>4.0</v>
      </c>
    </row>
    <row r="311">
      <c r="A311" s="3">
        <v>46229.65248842593</v>
      </c>
      <c r="B311" s="1" t="s">
        <v>719</v>
      </c>
      <c r="C311" s="1" t="s">
        <v>120</v>
      </c>
      <c r="D311" s="1">
        <v>3.0</v>
      </c>
      <c r="E311" s="1" t="s">
        <v>49</v>
      </c>
      <c r="F311" s="4">
        <v>3.0</v>
      </c>
      <c r="G311" s="4">
        <v>1.0</v>
      </c>
      <c r="H311" s="4">
        <v>2.0</v>
      </c>
      <c r="I311" s="4">
        <v>0.0</v>
      </c>
      <c r="J311" s="1">
        <v>5.0</v>
      </c>
      <c r="K311" s="1">
        <v>1.0</v>
      </c>
      <c r="L311" s="1">
        <v>0.0</v>
      </c>
      <c r="M311" s="1">
        <v>2.0</v>
      </c>
      <c r="N311" s="1">
        <v>2.0</v>
      </c>
      <c r="O311" s="1">
        <v>2.0</v>
      </c>
      <c r="P311" s="1">
        <v>3.0</v>
      </c>
      <c r="Q311" s="1"/>
      <c r="R311" s="1"/>
      <c r="S311" s="1">
        <v>77.0</v>
      </c>
      <c r="T311" s="1" t="s">
        <v>28</v>
      </c>
      <c r="U311" s="7">
        <v>5.0</v>
      </c>
      <c r="V311" s="7">
        <v>4.0</v>
      </c>
      <c r="W311" s="7">
        <v>9.0</v>
      </c>
    </row>
    <row r="312">
      <c r="A312" s="3">
        <v>46229.68471064815</v>
      </c>
      <c r="B312" s="1" t="s">
        <v>720</v>
      </c>
      <c r="C312" s="1" t="s">
        <v>384</v>
      </c>
      <c r="D312" s="1">
        <v>3.0</v>
      </c>
      <c r="E312" s="1" t="s">
        <v>184</v>
      </c>
      <c r="F312" s="4">
        <v>3.0</v>
      </c>
      <c r="G312" s="4">
        <v>0.0</v>
      </c>
      <c r="H312" s="4">
        <v>3.0</v>
      </c>
      <c r="I312" s="4">
        <v>0.0</v>
      </c>
      <c r="J312" s="1">
        <v>4.0</v>
      </c>
      <c r="K312" s="1">
        <v>-1.0</v>
      </c>
      <c r="L312" s="1">
        <v>-1.0</v>
      </c>
      <c r="M312" s="1">
        <v>2.0</v>
      </c>
      <c r="N312" s="1">
        <v>3.0</v>
      </c>
      <c r="O312" s="1">
        <v>2.0</v>
      </c>
      <c r="P312" s="1">
        <v>1.0</v>
      </c>
      <c r="Q312" s="1"/>
      <c r="R312" s="1"/>
      <c r="S312" s="1">
        <v>90.0</v>
      </c>
      <c r="T312" s="1" t="s">
        <v>34</v>
      </c>
      <c r="U312" s="7">
        <v>3.0</v>
      </c>
      <c r="V312" s="7">
        <v>5.0</v>
      </c>
      <c r="W312" s="7">
        <v>6.0</v>
      </c>
    </row>
    <row r="313">
      <c r="A313" s="3">
        <v>46229.69744212963</v>
      </c>
      <c r="B313" s="1" t="s">
        <v>721</v>
      </c>
      <c r="C313" s="1" t="s">
        <v>469</v>
      </c>
      <c r="D313" s="1">
        <v>3.0</v>
      </c>
      <c r="E313" s="1" t="s">
        <v>184</v>
      </c>
      <c r="F313" s="4">
        <v>0.0</v>
      </c>
      <c r="G313" s="4">
        <v>2.0</v>
      </c>
      <c r="H313" s="4">
        <v>3.0</v>
      </c>
      <c r="I313" s="4">
        <v>1.0</v>
      </c>
      <c r="J313" s="1">
        <v>5.0</v>
      </c>
      <c r="K313" s="1">
        <v>1.0</v>
      </c>
      <c r="L313" s="1">
        <v>-3.0</v>
      </c>
      <c r="M313" s="1">
        <v>2.0</v>
      </c>
      <c r="N313" s="1">
        <v>3.0</v>
      </c>
      <c r="O313" s="1">
        <v>2.0</v>
      </c>
      <c r="P313" s="1">
        <v>1.0</v>
      </c>
      <c r="Q313" s="1" t="s">
        <v>722</v>
      </c>
      <c r="R313" s="1"/>
      <c r="S313" s="1">
        <v>15424.0</v>
      </c>
      <c r="T313" s="1" t="s">
        <v>34</v>
      </c>
      <c r="U313" s="7">
        <v>3.0</v>
      </c>
      <c r="V313" s="7">
        <v>5.0</v>
      </c>
      <c r="W313" s="7">
        <v>6.0</v>
      </c>
    </row>
    <row r="314">
      <c r="A314" s="3">
        <v>46229.72699074074</v>
      </c>
      <c r="B314" s="1" t="s">
        <v>723</v>
      </c>
      <c r="C314" s="1" t="s">
        <v>413</v>
      </c>
      <c r="D314" s="1">
        <v>3.0</v>
      </c>
      <c r="E314" s="1" t="s">
        <v>184</v>
      </c>
      <c r="F314" s="4">
        <v>1.0</v>
      </c>
      <c r="G314" s="4">
        <v>2.0</v>
      </c>
      <c r="H314" s="4">
        <v>1.0</v>
      </c>
      <c r="I314" s="4">
        <v>2.0</v>
      </c>
      <c r="J314" s="1">
        <v>2.0</v>
      </c>
      <c r="K314" s="1">
        <v>-1.0</v>
      </c>
      <c r="L314" s="1">
        <v>-1.0</v>
      </c>
      <c r="M314" s="1">
        <v>1.0</v>
      </c>
      <c r="N314" s="1">
        <v>3.0</v>
      </c>
      <c r="O314" s="1">
        <v>3.0</v>
      </c>
      <c r="P314" s="1">
        <v>2.0</v>
      </c>
      <c r="Q314" s="1"/>
      <c r="R314" s="1"/>
      <c r="S314" s="1">
        <v>47.0</v>
      </c>
      <c r="T314" s="1" t="s">
        <v>34</v>
      </c>
      <c r="U314" s="7">
        <v>3.0</v>
      </c>
      <c r="V314" s="7">
        <v>6.0</v>
      </c>
      <c r="W314" s="7">
        <v>5.0</v>
      </c>
    </row>
    <row r="315">
      <c r="A315" s="3">
        <v>46229.73384259259</v>
      </c>
      <c r="B315" s="1" t="s">
        <v>724</v>
      </c>
      <c r="C315" s="1" t="s">
        <v>96</v>
      </c>
      <c r="D315" s="1">
        <v>3.0</v>
      </c>
      <c r="E315" s="1" t="s">
        <v>85</v>
      </c>
      <c r="F315" s="4">
        <v>2.0</v>
      </c>
      <c r="G315" s="4">
        <v>2.0</v>
      </c>
      <c r="H315" s="4">
        <v>2.0</v>
      </c>
      <c r="I315" s="4">
        <v>0.0</v>
      </c>
      <c r="J315" s="1">
        <v>4.0</v>
      </c>
      <c r="K315" s="1">
        <v>0.0</v>
      </c>
      <c r="L315" s="1">
        <v>1.0</v>
      </c>
      <c r="M315" s="1">
        <v>3.0</v>
      </c>
      <c r="N315" s="1">
        <v>3.0</v>
      </c>
      <c r="O315" s="1">
        <v>3.0</v>
      </c>
      <c r="P315" s="1">
        <v>1.0</v>
      </c>
      <c r="Q315" s="1"/>
      <c r="R315" s="1"/>
      <c r="S315" s="1">
        <v>179.0</v>
      </c>
      <c r="T315" s="1" t="s">
        <v>34</v>
      </c>
      <c r="U315" s="7">
        <v>4.0</v>
      </c>
      <c r="V315" s="7">
        <v>6.0</v>
      </c>
      <c r="W315" s="7">
        <v>6.0</v>
      </c>
    </row>
    <row r="316">
      <c r="A316" s="3">
        <v>46229.743113425924</v>
      </c>
      <c r="B316" s="1" t="s">
        <v>725</v>
      </c>
      <c r="C316" s="1" t="s">
        <v>194</v>
      </c>
      <c r="D316" s="1">
        <v>3.0</v>
      </c>
      <c r="E316" s="1" t="s">
        <v>184</v>
      </c>
      <c r="F316" s="4">
        <v>1.0</v>
      </c>
      <c r="G316" s="4">
        <v>3.0</v>
      </c>
      <c r="H316" s="4">
        <v>2.0</v>
      </c>
      <c r="I316" s="4">
        <v>0.0</v>
      </c>
      <c r="J316" s="1">
        <v>7.0</v>
      </c>
      <c r="K316" s="1">
        <v>3.0</v>
      </c>
      <c r="L316" s="1">
        <v>3.0</v>
      </c>
      <c r="M316" s="1">
        <v>2.0</v>
      </c>
      <c r="N316" s="1">
        <v>2.0</v>
      </c>
      <c r="O316" s="1">
        <v>3.0</v>
      </c>
      <c r="P316" s="1">
        <v>1.0</v>
      </c>
      <c r="Q316" s="1"/>
      <c r="R316" s="1"/>
      <c r="S316" s="1">
        <v>64.0</v>
      </c>
      <c r="T316" s="1" t="s">
        <v>28</v>
      </c>
      <c r="U316" s="7">
        <v>3.0</v>
      </c>
      <c r="V316" s="7">
        <v>5.0</v>
      </c>
      <c r="W316" s="7">
        <v>6.0</v>
      </c>
    </row>
    <row r="317">
      <c r="A317" s="3">
        <v>46229.768900462965</v>
      </c>
      <c r="B317" s="1" t="s">
        <v>726</v>
      </c>
      <c r="C317" s="1" t="s">
        <v>208</v>
      </c>
      <c r="D317" s="1">
        <v>3.0</v>
      </c>
      <c r="E317" s="1" t="s">
        <v>192</v>
      </c>
      <c r="F317" s="4">
        <v>2.0</v>
      </c>
      <c r="G317" s="4">
        <v>0.0</v>
      </c>
      <c r="H317" s="4">
        <v>4.0</v>
      </c>
      <c r="I317" s="4">
        <v>0.0</v>
      </c>
      <c r="J317" s="1">
        <v>2.0</v>
      </c>
      <c r="K317" s="1">
        <v>-2.0</v>
      </c>
      <c r="L317" s="1">
        <v>1.0</v>
      </c>
      <c r="M317" s="1">
        <v>2.0</v>
      </c>
      <c r="N317" s="1">
        <v>2.0</v>
      </c>
      <c r="O317" s="1">
        <v>2.0</v>
      </c>
      <c r="P317" s="1">
        <v>2.0</v>
      </c>
      <c r="Q317" s="1" t="s">
        <v>727</v>
      </c>
      <c r="R317" s="1"/>
      <c r="S317" s="1">
        <v>99.0</v>
      </c>
      <c r="T317" s="1" t="s">
        <v>28</v>
      </c>
      <c r="U317" s="7">
        <v>4.0</v>
      </c>
      <c r="V317" s="7">
        <v>4.0</v>
      </c>
      <c r="W317" s="7">
        <v>8.0</v>
      </c>
    </row>
    <row r="318">
      <c r="A318" s="3">
        <v>46229.772199074076</v>
      </c>
      <c r="B318" s="1" t="s">
        <v>728</v>
      </c>
      <c r="C318" s="1" t="s">
        <v>377</v>
      </c>
      <c r="D318" s="1">
        <v>3.0</v>
      </c>
      <c r="E318" s="1" t="s">
        <v>184</v>
      </c>
      <c r="F318" s="4">
        <v>3.0</v>
      </c>
      <c r="G318" s="4">
        <v>1.0</v>
      </c>
      <c r="H318" s="4">
        <v>2.0</v>
      </c>
      <c r="I318" s="4">
        <v>0.0</v>
      </c>
      <c r="J318" s="1">
        <v>4.0</v>
      </c>
      <c r="K318" s="1">
        <v>-1.0</v>
      </c>
      <c r="L318" s="1">
        <v>1.0</v>
      </c>
      <c r="M318" s="1">
        <v>2.0</v>
      </c>
      <c r="N318" s="1">
        <v>4.0</v>
      </c>
      <c r="O318" s="1">
        <v>2.0</v>
      </c>
      <c r="P318" s="1">
        <v>0.0</v>
      </c>
      <c r="Q318" s="1"/>
      <c r="R318" s="1"/>
      <c r="S318" s="1">
        <v>55.0</v>
      </c>
      <c r="T318" s="1" t="s">
        <v>28</v>
      </c>
      <c r="U318" s="7">
        <v>2.0</v>
      </c>
      <c r="V318" s="7">
        <v>6.0</v>
      </c>
      <c r="W318" s="7">
        <v>4.0</v>
      </c>
    </row>
    <row r="319">
      <c r="A319" s="3">
        <v>46229.803877314815</v>
      </c>
      <c r="B319" s="1" t="s">
        <v>729</v>
      </c>
      <c r="C319" s="1" t="s">
        <v>217</v>
      </c>
      <c r="D319" s="1">
        <v>3.0</v>
      </c>
      <c r="E319" s="1" t="s">
        <v>184</v>
      </c>
      <c r="F319" s="4">
        <v>3.0</v>
      </c>
      <c r="G319" s="4">
        <v>1.0</v>
      </c>
      <c r="H319" s="4">
        <v>0.0</v>
      </c>
      <c r="I319" s="4">
        <v>2.0</v>
      </c>
      <c r="J319" s="1">
        <v>2.0</v>
      </c>
      <c r="K319" s="1">
        <v>0.0</v>
      </c>
      <c r="L319" s="1">
        <v>1.0</v>
      </c>
      <c r="M319" s="1">
        <v>2.0</v>
      </c>
      <c r="N319" s="1">
        <v>1.0</v>
      </c>
      <c r="O319" s="1">
        <v>1.0</v>
      </c>
      <c r="P319" s="1">
        <v>3.0</v>
      </c>
      <c r="Q319" s="1"/>
      <c r="R319" s="1"/>
      <c r="S319" s="1">
        <v>59.0</v>
      </c>
      <c r="T319" s="1" t="s">
        <v>28</v>
      </c>
      <c r="U319" s="7">
        <v>5.0</v>
      </c>
      <c r="V319" s="7">
        <v>2.0</v>
      </c>
      <c r="W319" s="7">
        <v>11.0</v>
      </c>
    </row>
    <row r="320">
      <c r="A320" s="3">
        <v>46229.80887731481</v>
      </c>
      <c r="B320" s="1" t="s">
        <v>730</v>
      </c>
      <c r="C320" s="1" t="s">
        <v>144</v>
      </c>
      <c r="D320" s="1">
        <v>3.0</v>
      </c>
      <c r="E320" s="1" t="s">
        <v>52</v>
      </c>
      <c r="F320" s="4">
        <v>4.0</v>
      </c>
      <c r="G320" s="4">
        <v>0.0</v>
      </c>
      <c r="H320" s="4">
        <v>2.0</v>
      </c>
      <c r="I320" s="4">
        <v>0.0</v>
      </c>
      <c r="J320" s="1">
        <v>2.0</v>
      </c>
      <c r="K320" s="1">
        <v>0.0</v>
      </c>
      <c r="L320" s="1">
        <v>3.0</v>
      </c>
      <c r="M320" s="1">
        <v>2.0</v>
      </c>
      <c r="N320" s="1">
        <v>2.0</v>
      </c>
      <c r="O320" s="1">
        <v>2.0</v>
      </c>
      <c r="P320" s="1">
        <v>2.0</v>
      </c>
      <c r="Q320" s="1" t="s">
        <v>731</v>
      </c>
      <c r="R320" s="1"/>
      <c r="S320" s="1">
        <v>288.0</v>
      </c>
      <c r="T320" s="1" t="s">
        <v>28</v>
      </c>
      <c r="U320" s="7">
        <v>4.0</v>
      </c>
      <c r="V320" s="7">
        <v>4.0</v>
      </c>
      <c r="W320" s="7">
        <v>8.0</v>
      </c>
    </row>
    <row r="321">
      <c r="A321" s="3">
        <v>46229.850381944445</v>
      </c>
      <c r="B321" s="1" t="s">
        <v>732</v>
      </c>
      <c r="C321" s="1" t="s">
        <v>596</v>
      </c>
      <c r="D321" s="1">
        <v>3.0</v>
      </c>
      <c r="E321" s="1" t="s">
        <v>49</v>
      </c>
      <c r="F321" s="4">
        <v>1.0</v>
      </c>
      <c r="G321" s="4">
        <v>3.0</v>
      </c>
      <c r="H321" s="4">
        <v>2.0</v>
      </c>
      <c r="I321" s="4">
        <v>0.0</v>
      </c>
      <c r="J321" s="1">
        <v>5.0</v>
      </c>
      <c r="K321" s="1">
        <v>0.0</v>
      </c>
      <c r="L321" s="1">
        <v>0.0</v>
      </c>
      <c r="M321" s="1">
        <v>3.0</v>
      </c>
      <c r="N321" s="1">
        <v>3.0</v>
      </c>
      <c r="O321" s="1">
        <v>3.0</v>
      </c>
      <c r="P321" s="1">
        <v>3.0</v>
      </c>
      <c r="Q321" s="1"/>
      <c r="R321" s="1"/>
      <c r="S321" s="1">
        <v>61.0</v>
      </c>
      <c r="T321" s="1" t="s">
        <v>34</v>
      </c>
      <c r="U321" s="7">
        <v>6.0</v>
      </c>
      <c r="V321" s="7">
        <v>6.0</v>
      </c>
      <c r="W321" s="7">
        <v>8.0</v>
      </c>
    </row>
    <row r="322">
      <c r="A322" s="3">
        <v>46229.85486111111</v>
      </c>
      <c r="B322" s="1" t="s">
        <v>733</v>
      </c>
      <c r="C322" s="1" t="s">
        <v>362</v>
      </c>
      <c r="D322" s="1">
        <v>3.0</v>
      </c>
      <c r="E322" s="1" t="s">
        <v>52</v>
      </c>
      <c r="F322" s="4">
        <v>0.0</v>
      </c>
      <c r="G322" s="4">
        <v>1.0</v>
      </c>
      <c r="H322" s="4">
        <v>5.0</v>
      </c>
      <c r="I322" s="4">
        <v>0.0</v>
      </c>
      <c r="J322" s="1">
        <v>3.0</v>
      </c>
      <c r="K322" s="1">
        <v>1.0</v>
      </c>
      <c r="L322" s="1">
        <v>1.0</v>
      </c>
      <c r="M322" s="1">
        <v>1.0</v>
      </c>
      <c r="N322" s="1">
        <v>4.0</v>
      </c>
      <c r="O322" s="1">
        <v>3.0</v>
      </c>
      <c r="P322" s="1">
        <v>3.0</v>
      </c>
      <c r="Q322" s="1"/>
      <c r="R322" s="1"/>
      <c r="S322" s="1">
        <v>64.0</v>
      </c>
      <c r="T322" s="1" t="s">
        <v>28</v>
      </c>
      <c r="U322" s="7">
        <v>4.0</v>
      </c>
      <c r="V322" s="7">
        <v>7.0</v>
      </c>
      <c r="W322" s="7">
        <v>5.0</v>
      </c>
    </row>
    <row r="323">
      <c r="A323" s="3">
        <v>46229.87162037037</v>
      </c>
      <c r="B323" s="1" t="s">
        <v>734</v>
      </c>
      <c r="C323" s="1" t="s">
        <v>59</v>
      </c>
      <c r="D323" s="1">
        <v>3.0</v>
      </c>
      <c r="E323" s="1" t="s">
        <v>52</v>
      </c>
      <c r="F323" s="4">
        <v>2.0</v>
      </c>
      <c r="G323" s="4">
        <v>1.0</v>
      </c>
      <c r="H323" s="4">
        <v>3.0</v>
      </c>
      <c r="I323" s="4">
        <v>0.0</v>
      </c>
      <c r="J323" s="1">
        <v>5.0</v>
      </c>
      <c r="K323" s="1">
        <v>1.0</v>
      </c>
      <c r="L323" s="1">
        <v>-1.0</v>
      </c>
      <c r="M323" s="1">
        <v>1.0</v>
      </c>
      <c r="N323" s="1">
        <v>3.0</v>
      </c>
      <c r="O323" s="1">
        <v>3.0</v>
      </c>
      <c r="P323" s="1">
        <v>1.0</v>
      </c>
      <c r="Q323" s="1" t="s">
        <v>735</v>
      </c>
      <c r="R323" s="1"/>
      <c r="S323" s="1">
        <v>102.0</v>
      </c>
      <c r="T323" s="1" t="s">
        <v>34</v>
      </c>
      <c r="U323" s="7">
        <v>2.0</v>
      </c>
      <c r="V323" s="7">
        <v>6.0</v>
      </c>
      <c r="W323" s="7">
        <v>4.0</v>
      </c>
    </row>
    <row r="324">
      <c r="A324" s="3">
        <v>46229.89299768519</v>
      </c>
      <c r="B324" s="1" t="s">
        <v>736</v>
      </c>
      <c r="C324" s="1" t="s">
        <v>133</v>
      </c>
      <c r="D324" s="1">
        <v>3.0</v>
      </c>
      <c r="E324" s="1" t="s">
        <v>90</v>
      </c>
      <c r="F324" s="4">
        <v>1.0</v>
      </c>
      <c r="G324" s="4">
        <v>2.0</v>
      </c>
      <c r="H324" s="4">
        <v>3.0</v>
      </c>
      <c r="I324" s="4">
        <v>0.0</v>
      </c>
      <c r="J324" s="1">
        <v>5.0</v>
      </c>
      <c r="K324" s="1">
        <v>-2.0</v>
      </c>
      <c r="L324" s="1">
        <v>-1.0</v>
      </c>
      <c r="M324" s="1">
        <v>3.0</v>
      </c>
      <c r="N324" s="1">
        <v>3.0</v>
      </c>
      <c r="O324" s="1">
        <v>2.0</v>
      </c>
      <c r="P324" s="1">
        <v>3.0</v>
      </c>
      <c r="Q324" s="1" t="s">
        <v>737</v>
      </c>
      <c r="R324" s="1"/>
      <c r="S324" s="1">
        <v>639.0</v>
      </c>
      <c r="T324" s="1" t="s">
        <v>34</v>
      </c>
      <c r="U324" s="7">
        <v>6.0</v>
      </c>
      <c r="V324" s="7">
        <v>5.0</v>
      </c>
      <c r="W324" s="7">
        <v>9.0</v>
      </c>
    </row>
    <row r="325">
      <c r="A325" s="3">
        <v>46229.89309027778</v>
      </c>
      <c r="B325" s="1" t="s">
        <v>738</v>
      </c>
      <c r="C325" s="1" t="s">
        <v>254</v>
      </c>
      <c r="D325" s="1">
        <v>3.0</v>
      </c>
      <c r="E325" s="1" t="s">
        <v>192</v>
      </c>
      <c r="F325" s="4">
        <v>2.0</v>
      </c>
      <c r="G325" s="4">
        <v>1.0</v>
      </c>
      <c r="H325" s="4">
        <v>3.0</v>
      </c>
      <c r="I325" s="4">
        <v>0.0</v>
      </c>
      <c r="J325" s="1">
        <v>5.0</v>
      </c>
      <c r="K325" s="1">
        <v>3.0</v>
      </c>
      <c r="L325" s="1">
        <v>0.0</v>
      </c>
      <c r="M325" s="1">
        <v>2.0</v>
      </c>
      <c r="N325" s="1">
        <v>2.0</v>
      </c>
      <c r="O325" s="1">
        <v>2.0</v>
      </c>
      <c r="P325" s="1">
        <v>1.0</v>
      </c>
      <c r="Q325" s="1" t="s">
        <v>739</v>
      </c>
      <c r="R325" s="1" t="s">
        <v>293</v>
      </c>
      <c r="S325" s="1">
        <v>153.0</v>
      </c>
      <c r="T325" s="1" t="s">
        <v>28</v>
      </c>
      <c r="U325" s="7">
        <v>3.0</v>
      </c>
      <c r="V325" s="7">
        <v>4.0</v>
      </c>
      <c r="W325" s="7">
        <v>7.0</v>
      </c>
    </row>
    <row r="326">
      <c r="A326" s="3">
        <v>46229.95990740741</v>
      </c>
      <c r="B326" s="1" t="s">
        <v>740</v>
      </c>
      <c r="C326" s="1" t="s">
        <v>557</v>
      </c>
      <c r="D326" s="1">
        <v>3.0</v>
      </c>
      <c r="E326" s="1" t="s">
        <v>192</v>
      </c>
      <c r="F326" s="4">
        <v>1.0</v>
      </c>
      <c r="G326" s="4">
        <v>3.0</v>
      </c>
      <c r="H326" s="4">
        <v>2.0</v>
      </c>
      <c r="I326" s="4">
        <v>0.0</v>
      </c>
      <c r="J326" s="1">
        <v>6.0</v>
      </c>
      <c r="K326" s="1">
        <v>1.0</v>
      </c>
      <c r="L326" s="1">
        <v>-1.0</v>
      </c>
      <c r="M326" s="1">
        <v>0.0</v>
      </c>
      <c r="N326" s="1">
        <v>4.0</v>
      </c>
      <c r="O326" s="1">
        <v>3.0</v>
      </c>
      <c r="P326" s="1">
        <v>1.0</v>
      </c>
      <c r="Q326" s="1"/>
      <c r="R326" s="1"/>
      <c r="S326" s="1">
        <v>108.0</v>
      </c>
      <c r="T326" s="1" t="s">
        <v>34</v>
      </c>
      <c r="U326" s="7">
        <v>1.0</v>
      </c>
      <c r="V326" s="7">
        <v>7.0</v>
      </c>
      <c r="W326" s="7">
        <v>2.0</v>
      </c>
    </row>
    <row r="327">
      <c r="A327" s="3">
        <v>46230.34140046296</v>
      </c>
      <c r="B327" s="1" t="s">
        <v>741</v>
      </c>
      <c r="C327" s="1" t="s">
        <v>367</v>
      </c>
      <c r="D327" s="1">
        <v>3.0</v>
      </c>
      <c r="E327" s="1" t="s">
        <v>184</v>
      </c>
      <c r="F327" s="4">
        <v>2.0</v>
      </c>
      <c r="G327" s="4">
        <v>2.0</v>
      </c>
      <c r="H327" s="4">
        <v>1.0</v>
      </c>
      <c r="I327" s="4">
        <v>1.0</v>
      </c>
      <c r="J327" s="1">
        <v>5.0</v>
      </c>
      <c r="K327" s="1">
        <v>-2.0</v>
      </c>
      <c r="L327" s="1">
        <v>-2.0</v>
      </c>
      <c r="M327" s="1">
        <v>3.0</v>
      </c>
      <c r="N327" s="1">
        <v>4.0</v>
      </c>
      <c r="O327" s="1">
        <v>4.0</v>
      </c>
      <c r="P327" s="1">
        <v>1.0</v>
      </c>
      <c r="Q327" s="1"/>
      <c r="R327" s="1"/>
      <c r="S327" s="1">
        <v>82.0</v>
      </c>
      <c r="T327" s="1" t="s">
        <v>34</v>
      </c>
      <c r="U327" s="7">
        <v>4.0</v>
      </c>
      <c r="V327" s="7">
        <v>8.0</v>
      </c>
      <c r="W327" s="7">
        <v>4.0</v>
      </c>
    </row>
    <row r="328">
      <c r="A328" s="3">
        <v>46230.352789351855</v>
      </c>
      <c r="B328" s="1" t="s">
        <v>742</v>
      </c>
      <c r="C328" s="1" t="s">
        <v>200</v>
      </c>
      <c r="D328" s="1">
        <v>3.0</v>
      </c>
      <c r="E328" s="1" t="s">
        <v>184</v>
      </c>
      <c r="F328" s="4">
        <v>1.0</v>
      </c>
      <c r="G328" s="4">
        <v>1.0</v>
      </c>
      <c r="H328" s="4">
        <v>4.0</v>
      </c>
      <c r="I328" s="4">
        <v>0.0</v>
      </c>
      <c r="J328" s="1">
        <v>6.0</v>
      </c>
      <c r="K328" s="1">
        <v>1.0</v>
      </c>
      <c r="L328" s="1">
        <v>0.0</v>
      </c>
      <c r="M328" s="1">
        <v>0.0</v>
      </c>
      <c r="N328" s="1">
        <v>3.0</v>
      </c>
      <c r="O328" s="1">
        <v>3.0</v>
      </c>
      <c r="P328" s="1">
        <v>1.0</v>
      </c>
      <c r="Q328" s="1" t="s">
        <v>743</v>
      </c>
      <c r="R328" s="1"/>
      <c r="S328" s="1">
        <v>371.0</v>
      </c>
      <c r="T328" s="1" t="s">
        <v>28</v>
      </c>
      <c r="U328" s="7">
        <v>1.0</v>
      </c>
      <c r="V328" s="7">
        <v>6.0</v>
      </c>
      <c r="W328" s="7">
        <v>3.0</v>
      </c>
    </row>
    <row r="329">
      <c r="A329" s="3">
        <v>46230.35563657407</v>
      </c>
      <c r="B329" s="1" t="s">
        <v>744</v>
      </c>
      <c r="C329" s="1" t="s">
        <v>442</v>
      </c>
      <c r="D329" s="1">
        <v>3.0</v>
      </c>
      <c r="E329" s="1" t="s">
        <v>184</v>
      </c>
      <c r="F329" s="4">
        <v>3.0</v>
      </c>
      <c r="G329" s="4">
        <v>0.0</v>
      </c>
      <c r="H329" s="4">
        <v>3.0</v>
      </c>
      <c r="I329" s="4">
        <v>0.0</v>
      </c>
      <c r="J329" s="1">
        <v>3.0</v>
      </c>
      <c r="K329" s="1">
        <v>0.0</v>
      </c>
      <c r="L329" s="1">
        <v>2.0</v>
      </c>
      <c r="M329" s="1">
        <v>1.0</v>
      </c>
      <c r="N329" s="1">
        <v>2.0</v>
      </c>
      <c r="O329" s="1">
        <v>2.0</v>
      </c>
      <c r="P329" s="1">
        <v>2.0</v>
      </c>
      <c r="Q329" s="1" t="s">
        <v>444</v>
      </c>
      <c r="R329" s="1" t="s">
        <v>444</v>
      </c>
      <c r="S329" s="1">
        <v>89.0</v>
      </c>
      <c r="T329" s="1" t="s">
        <v>34</v>
      </c>
      <c r="U329" s="7">
        <v>3.0</v>
      </c>
      <c r="V329" s="7">
        <v>4.0</v>
      </c>
      <c r="W329" s="7">
        <v>7.0</v>
      </c>
    </row>
    <row r="330">
      <c r="A330" s="3">
        <v>46230.35765046296</v>
      </c>
      <c r="B330" s="1" t="s">
        <v>745</v>
      </c>
      <c r="C330" s="1" t="s">
        <v>246</v>
      </c>
      <c r="D330" s="1">
        <v>3.0</v>
      </c>
      <c r="E330" s="1" t="s">
        <v>184</v>
      </c>
      <c r="F330" s="4">
        <v>1.0</v>
      </c>
      <c r="G330" s="4">
        <v>4.0</v>
      </c>
      <c r="H330" s="4">
        <v>1.0</v>
      </c>
      <c r="I330" s="4">
        <v>0.0</v>
      </c>
      <c r="J330" s="1">
        <v>6.0</v>
      </c>
      <c r="K330" s="1">
        <v>2.0</v>
      </c>
      <c r="L330" s="1">
        <v>-3.0</v>
      </c>
      <c r="M330" s="1">
        <v>1.0</v>
      </c>
      <c r="N330" s="1">
        <v>3.0</v>
      </c>
      <c r="O330" s="1">
        <v>3.0</v>
      </c>
      <c r="P330" s="1">
        <v>0.0</v>
      </c>
      <c r="Q330" s="1" t="s">
        <v>746</v>
      </c>
      <c r="R330" s="1"/>
      <c r="S330" s="1">
        <v>519.0</v>
      </c>
      <c r="T330" s="1" t="s">
        <v>28</v>
      </c>
      <c r="U330" s="7">
        <v>1.0</v>
      </c>
      <c r="V330" s="7">
        <v>6.0</v>
      </c>
      <c r="W330" s="7">
        <v>3.0</v>
      </c>
    </row>
    <row r="331">
      <c r="A331" s="3">
        <v>46230.36373842593</v>
      </c>
      <c r="B331" s="1" t="s">
        <v>747</v>
      </c>
      <c r="C331" s="1" t="s">
        <v>309</v>
      </c>
      <c r="D331" s="1">
        <v>3.0</v>
      </c>
      <c r="E331" s="1" t="s">
        <v>192</v>
      </c>
      <c r="F331" s="4">
        <v>1.0</v>
      </c>
      <c r="G331" s="4">
        <v>1.0</v>
      </c>
      <c r="H331" s="4">
        <v>1.0</v>
      </c>
      <c r="I331" s="4">
        <v>3.0</v>
      </c>
      <c r="J331" s="1">
        <v>6.0</v>
      </c>
      <c r="K331" s="1">
        <v>0.0</v>
      </c>
      <c r="L331" s="1">
        <v>0.0</v>
      </c>
      <c r="M331" s="1">
        <v>1.0</v>
      </c>
      <c r="N331" s="1">
        <v>4.0</v>
      </c>
      <c r="O331" s="1">
        <v>3.0</v>
      </c>
      <c r="P331" s="1">
        <v>1.0</v>
      </c>
      <c r="Q331" s="1" t="s">
        <v>748</v>
      </c>
      <c r="R331" s="1"/>
      <c r="S331" s="1">
        <v>178.0</v>
      </c>
      <c r="T331" s="1" t="s">
        <v>28</v>
      </c>
      <c r="U331" s="7">
        <v>2.0</v>
      </c>
      <c r="V331" s="7">
        <v>7.0</v>
      </c>
      <c r="W331" s="7">
        <v>3.0</v>
      </c>
    </row>
    <row r="332">
      <c r="A332" s="3">
        <v>46230.39256944445</v>
      </c>
      <c r="B332" s="1" t="s">
        <v>749</v>
      </c>
      <c r="C332" s="1" t="s">
        <v>237</v>
      </c>
      <c r="D332" s="1">
        <v>3.0</v>
      </c>
      <c r="E332" s="1" t="s">
        <v>184</v>
      </c>
      <c r="F332" s="4">
        <v>1.0</v>
      </c>
      <c r="G332" s="4">
        <v>2.0</v>
      </c>
      <c r="H332" s="4">
        <v>3.0</v>
      </c>
      <c r="I332" s="4">
        <v>0.0</v>
      </c>
      <c r="J332" s="1">
        <v>5.0</v>
      </c>
      <c r="K332" s="1">
        <v>1.0</v>
      </c>
      <c r="L332" s="1">
        <v>-3.0</v>
      </c>
      <c r="M332" s="1">
        <v>2.0</v>
      </c>
      <c r="N332" s="1">
        <v>3.0</v>
      </c>
      <c r="O332" s="1">
        <v>3.0</v>
      </c>
      <c r="P332" s="1">
        <v>2.0</v>
      </c>
      <c r="Q332" s="1" t="s">
        <v>750</v>
      </c>
      <c r="R332" s="1"/>
      <c r="S332" s="1">
        <v>150.0</v>
      </c>
      <c r="T332" s="1" t="s">
        <v>28</v>
      </c>
      <c r="U332" s="7">
        <v>4.0</v>
      </c>
      <c r="V332" s="7">
        <v>6.0</v>
      </c>
      <c r="W332" s="7">
        <v>6.0</v>
      </c>
    </row>
    <row r="333">
      <c r="A333" s="3">
        <v>46230.39466435185</v>
      </c>
      <c r="B333" s="1" t="s">
        <v>751</v>
      </c>
      <c r="C333" s="1" t="s">
        <v>228</v>
      </c>
      <c r="D333" s="1">
        <v>3.0</v>
      </c>
      <c r="E333" s="1" t="s">
        <v>192</v>
      </c>
      <c r="F333" s="4">
        <v>1.0</v>
      </c>
      <c r="G333" s="4">
        <v>3.0</v>
      </c>
      <c r="H333" s="4">
        <v>2.0</v>
      </c>
      <c r="I333" s="4">
        <v>0.0</v>
      </c>
      <c r="J333" s="1">
        <v>2.0</v>
      </c>
      <c r="K333" s="1">
        <v>-2.0</v>
      </c>
      <c r="L333" s="1">
        <v>0.0</v>
      </c>
      <c r="M333" s="1">
        <v>3.0</v>
      </c>
      <c r="N333" s="1">
        <v>3.0</v>
      </c>
      <c r="O333" s="1">
        <v>1.0</v>
      </c>
      <c r="P333" s="1">
        <v>1.0</v>
      </c>
      <c r="Q333" s="1"/>
      <c r="R333" s="1"/>
      <c r="S333" s="1">
        <v>74.0</v>
      </c>
      <c r="T333" s="1" t="s">
        <v>28</v>
      </c>
      <c r="U333" s="7">
        <v>4.0</v>
      </c>
      <c r="V333" s="7">
        <v>4.0</v>
      </c>
      <c r="W333" s="7">
        <v>8.0</v>
      </c>
    </row>
    <row r="334">
      <c r="A334" s="3">
        <v>46230.44630787037</v>
      </c>
      <c r="B334" s="1" t="s">
        <v>752</v>
      </c>
      <c r="C334" s="1" t="s">
        <v>281</v>
      </c>
      <c r="D334" s="1">
        <v>3.0</v>
      </c>
      <c r="E334" s="1" t="s">
        <v>102</v>
      </c>
      <c r="F334" s="4">
        <v>2.0</v>
      </c>
      <c r="G334" s="4">
        <v>4.0</v>
      </c>
      <c r="H334" s="4">
        <v>0.0</v>
      </c>
      <c r="I334" s="4">
        <v>0.0</v>
      </c>
      <c r="J334" s="1">
        <v>7.0</v>
      </c>
      <c r="K334" s="1">
        <v>3.0</v>
      </c>
      <c r="L334" s="1">
        <v>-2.0</v>
      </c>
      <c r="M334" s="1">
        <v>1.0</v>
      </c>
      <c r="N334" s="1">
        <v>4.0</v>
      </c>
      <c r="O334" s="1">
        <v>3.0</v>
      </c>
      <c r="P334" s="1">
        <v>1.0</v>
      </c>
      <c r="Q334" s="1"/>
      <c r="R334" s="1" t="s">
        <v>753</v>
      </c>
      <c r="S334" s="1">
        <v>101.0</v>
      </c>
      <c r="T334" s="1" t="s">
        <v>34</v>
      </c>
      <c r="U334" s="7">
        <v>2.0</v>
      </c>
      <c r="V334" s="7">
        <v>7.0</v>
      </c>
      <c r="W334" s="7">
        <v>3.0</v>
      </c>
    </row>
    <row r="335">
      <c r="A335" s="3">
        <v>46230.45501157407</v>
      </c>
      <c r="B335" s="1" t="s">
        <v>754</v>
      </c>
      <c r="C335" s="1" t="s">
        <v>257</v>
      </c>
      <c r="D335" s="1">
        <v>3.0</v>
      </c>
      <c r="E335" s="1" t="s">
        <v>184</v>
      </c>
      <c r="F335" s="4">
        <v>3.0</v>
      </c>
      <c r="G335" s="4">
        <v>1.0</v>
      </c>
      <c r="H335" s="4">
        <v>2.0</v>
      </c>
      <c r="I335" s="4">
        <v>0.0</v>
      </c>
      <c r="J335" s="1">
        <v>3.0</v>
      </c>
      <c r="K335" s="1">
        <v>-1.0</v>
      </c>
      <c r="L335" s="1">
        <v>1.0</v>
      </c>
      <c r="M335" s="1">
        <v>2.0</v>
      </c>
      <c r="N335" s="1">
        <v>2.0</v>
      </c>
      <c r="O335" s="1">
        <v>2.0</v>
      </c>
      <c r="P335" s="1">
        <v>2.0</v>
      </c>
      <c r="Q335" s="1" t="s">
        <v>755</v>
      </c>
      <c r="R335" s="1"/>
      <c r="S335" s="1">
        <v>99.0</v>
      </c>
      <c r="T335" s="1" t="s">
        <v>34</v>
      </c>
      <c r="U335" s="7">
        <v>4.0</v>
      </c>
      <c r="V335" s="7">
        <v>4.0</v>
      </c>
      <c r="W335" s="7">
        <v>8.0</v>
      </c>
    </row>
    <row r="336">
      <c r="A336" s="3">
        <v>46230.460960648146</v>
      </c>
      <c r="B336" s="1" t="s">
        <v>756</v>
      </c>
      <c r="C336" s="1" t="s">
        <v>271</v>
      </c>
      <c r="D336" s="1">
        <v>3.0</v>
      </c>
      <c r="E336" s="1" t="s">
        <v>192</v>
      </c>
      <c r="F336" s="4">
        <v>1.0</v>
      </c>
      <c r="G336" s="4">
        <v>3.0</v>
      </c>
      <c r="H336" s="4">
        <v>2.0</v>
      </c>
      <c r="I336" s="4">
        <v>0.0</v>
      </c>
      <c r="J336" s="1">
        <v>5.0</v>
      </c>
      <c r="K336" s="1">
        <v>1.0</v>
      </c>
      <c r="L336" s="1">
        <v>-2.0</v>
      </c>
      <c r="M336" s="1">
        <v>1.0</v>
      </c>
      <c r="N336" s="1">
        <v>3.0</v>
      </c>
      <c r="O336" s="1">
        <v>3.0</v>
      </c>
      <c r="P336" s="1">
        <v>1.0</v>
      </c>
      <c r="Q336" s="1"/>
      <c r="R336" s="1"/>
      <c r="S336" s="1">
        <v>57.0</v>
      </c>
      <c r="T336" s="1" t="s">
        <v>28</v>
      </c>
      <c r="U336" s="7">
        <v>2.0</v>
      </c>
      <c r="V336" s="7">
        <v>6.0</v>
      </c>
      <c r="W336" s="7">
        <v>4.0</v>
      </c>
    </row>
    <row r="337">
      <c r="A337" s="3">
        <v>46230.46555555556</v>
      </c>
      <c r="B337" s="1" t="s">
        <v>757</v>
      </c>
      <c r="C337" s="1" t="s">
        <v>56</v>
      </c>
      <c r="D337" s="1">
        <v>3.0</v>
      </c>
      <c r="E337" s="1" t="s">
        <v>49</v>
      </c>
      <c r="F337" s="4">
        <v>3.0</v>
      </c>
      <c r="G337" s="4">
        <v>1.0</v>
      </c>
      <c r="H337" s="4">
        <v>2.0</v>
      </c>
      <c r="I337" s="4">
        <v>0.0</v>
      </c>
      <c r="J337" s="1">
        <v>7.0</v>
      </c>
      <c r="K337" s="1">
        <v>-2.0</v>
      </c>
      <c r="L337" s="1">
        <v>0.0</v>
      </c>
      <c r="M337" s="1">
        <v>2.0</v>
      </c>
      <c r="N337" s="1">
        <v>3.0</v>
      </c>
      <c r="O337" s="1">
        <v>2.0</v>
      </c>
      <c r="P337" s="1">
        <v>1.0</v>
      </c>
      <c r="Q337" s="1"/>
      <c r="R337" s="1"/>
      <c r="S337" s="1">
        <v>132.0</v>
      </c>
      <c r="T337" s="1" t="s">
        <v>34</v>
      </c>
      <c r="U337" s="7">
        <v>3.0</v>
      </c>
      <c r="V337" s="7">
        <v>5.0</v>
      </c>
      <c r="W337" s="7">
        <v>6.0</v>
      </c>
    </row>
    <row r="338">
      <c r="A338" s="3">
        <v>46230.46784722222</v>
      </c>
      <c r="B338" s="1" t="s">
        <v>758</v>
      </c>
      <c r="C338" s="1" t="s">
        <v>154</v>
      </c>
      <c r="D338" s="1">
        <v>3.0</v>
      </c>
      <c r="E338" s="1" t="s">
        <v>37</v>
      </c>
      <c r="F338" s="4">
        <v>0.0</v>
      </c>
      <c r="G338" s="4">
        <v>1.0</v>
      </c>
      <c r="H338" s="4">
        <v>3.0</v>
      </c>
      <c r="I338" s="4">
        <v>2.0</v>
      </c>
      <c r="J338" s="1">
        <v>3.0</v>
      </c>
      <c r="K338" s="1">
        <v>1.0</v>
      </c>
      <c r="L338" s="1">
        <v>0.0</v>
      </c>
      <c r="M338" s="1">
        <v>2.0</v>
      </c>
      <c r="N338" s="1">
        <v>2.0</v>
      </c>
      <c r="O338" s="1">
        <v>3.0</v>
      </c>
      <c r="P338" s="1">
        <v>2.0</v>
      </c>
      <c r="Q338" s="1" t="s">
        <v>759</v>
      </c>
      <c r="R338" s="1"/>
      <c r="S338" s="1">
        <v>112.0</v>
      </c>
      <c r="T338" s="1" t="s">
        <v>28</v>
      </c>
      <c r="U338" s="7">
        <v>4.0</v>
      </c>
      <c r="V338" s="7">
        <v>5.0</v>
      </c>
      <c r="W338" s="7">
        <v>7.0</v>
      </c>
    </row>
    <row r="339">
      <c r="A339" s="3">
        <v>46230.612488425926</v>
      </c>
      <c r="B339" s="1" t="s">
        <v>760</v>
      </c>
      <c r="C339" s="1" t="s">
        <v>306</v>
      </c>
      <c r="D339" s="1">
        <v>3.0</v>
      </c>
      <c r="E339" s="1" t="s">
        <v>184</v>
      </c>
      <c r="F339" s="4">
        <v>2.0</v>
      </c>
      <c r="G339" s="4">
        <v>3.0</v>
      </c>
      <c r="H339" s="4">
        <v>1.0</v>
      </c>
      <c r="I339" s="4">
        <v>0.0</v>
      </c>
      <c r="J339" s="1">
        <v>6.0</v>
      </c>
      <c r="K339" s="1">
        <v>-1.0</v>
      </c>
      <c r="L339" s="1">
        <v>-2.0</v>
      </c>
      <c r="M339" s="1">
        <v>3.0</v>
      </c>
      <c r="N339" s="1">
        <v>3.0</v>
      </c>
      <c r="O339" s="1">
        <v>2.0</v>
      </c>
      <c r="P339" s="1">
        <v>2.0</v>
      </c>
      <c r="Q339" s="1"/>
      <c r="R339" s="1"/>
      <c r="S339" s="1">
        <v>82.0</v>
      </c>
      <c r="T339" s="1" t="s">
        <v>34</v>
      </c>
      <c r="U339" s="7">
        <v>5.0</v>
      </c>
      <c r="V339" s="7">
        <v>5.0</v>
      </c>
      <c r="W339" s="7">
        <v>8.0</v>
      </c>
    </row>
    <row r="340">
      <c r="A340" s="3">
        <v>46230.64061342592</v>
      </c>
      <c r="B340" s="1" t="s">
        <v>761</v>
      </c>
      <c r="C340" s="1" t="s">
        <v>252</v>
      </c>
      <c r="D340" s="1">
        <v>3.0</v>
      </c>
      <c r="E340" s="1" t="s">
        <v>192</v>
      </c>
      <c r="F340" s="4">
        <v>0.0</v>
      </c>
      <c r="G340" s="4">
        <v>2.0</v>
      </c>
      <c r="H340" s="4">
        <v>4.0</v>
      </c>
      <c r="I340" s="4">
        <v>0.0</v>
      </c>
      <c r="J340" s="1">
        <v>3.0</v>
      </c>
      <c r="K340" s="1">
        <v>-2.0</v>
      </c>
      <c r="L340" s="1">
        <v>-3.0</v>
      </c>
      <c r="M340" s="1">
        <v>1.0</v>
      </c>
      <c r="N340" s="1">
        <v>3.0</v>
      </c>
      <c r="O340" s="1">
        <v>3.0</v>
      </c>
      <c r="P340" s="1">
        <v>1.0</v>
      </c>
      <c r="Q340" s="1"/>
      <c r="R340" s="1"/>
      <c r="S340" s="1">
        <v>45.0</v>
      </c>
      <c r="T340" s="1" t="s">
        <v>28</v>
      </c>
      <c r="U340" s="7">
        <v>2.0</v>
      </c>
      <c r="V340" s="7">
        <v>6.0</v>
      </c>
      <c r="W340" s="7">
        <v>4.0</v>
      </c>
    </row>
    <row r="341">
      <c r="A341" s="3">
        <v>46230.67356481482</v>
      </c>
      <c r="B341" s="1" t="s">
        <v>762</v>
      </c>
      <c r="C341" s="1" t="s">
        <v>108</v>
      </c>
      <c r="D341" s="1">
        <v>3.0</v>
      </c>
      <c r="E341" s="1" t="s">
        <v>52</v>
      </c>
      <c r="F341" s="4">
        <v>1.0</v>
      </c>
      <c r="G341" s="4">
        <v>1.0</v>
      </c>
      <c r="H341" s="4">
        <v>3.0</v>
      </c>
      <c r="I341" s="4">
        <v>1.0</v>
      </c>
      <c r="J341" s="1">
        <v>6.0</v>
      </c>
      <c r="K341" s="1">
        <v>-2.0</v>
      </c>
      <c r="L341" s="1">
        <v>0.0</v>
      </c>
      <c r="M341" s="1">
        <v>1.0</v>
      </c>
      <c r="N341" s="1">
        <v>3.0</v>
      </c>
      <c r="O341" s="1">
        <v>3.0</v>
      </c>
      <c r="P341" s="1">
        <v>1.0</v>
      </c>
      <c r="Q341" s="1"/>
      <c r="R341" s="1"/>
      <c r="S341" s="1">
        <v>91.0</v>
      </c>
      <c r="T341" s="1" t="s">
        <v>28</v>
      </c>
      <c r="U341" s="7">
        <v>2.0</v>
      </c>
      <c r="V341" s="7">
        <v>6.0</v>
      </c>
      <c r="W341" s="7">
        <v>4.0</v>
      </c>
    </row>
    <row r="342">
      <c r="A342" s="3">
        <v>46230.71287037037</v>
      </c>
      <c r="B342" s="1" t="s">
        <v>763</v>
      </c>
      <c r="C342" s="1" t="s">
        <v>259</v>
      </c>
      <c r="D342" s="1">
        <v>3.0</v>
      </c>
      <c r="E342" s="1" t="s">
        <v>184</v>
      </c>
      <c r="F342" s="4">
        <v>1.0</v>
      </c>
      <c r="G342" s="4">
        <v>1.0</v>
      </c>
      <c r="H342" s="4">
        <v>4.0</v>
      </c>
      <c r="I342" s="4">
        <v>0.0</v>
      </c>
      <c r="J342" s="1">
        <v>6.0</v>
      </c>
      <c r="K342" s="1">
        <v>1.0</v>
      </c>
      <c r="L342" s="1">
        <v>-3.0</v>
      </c>
      <c r="M342" s="1">
        <v>2.0</v>
      </c>
      <c r="N342" s="1">
        <v>4.0</v>
      </c>
      <c r="O342" s="1">
        <v>4.0</v>
      </c>
      <c r="P342" s="1">
        <v>1.0</v>
      </c>
      <c r="Q342" s="1" t="s">
        <v>764</v>
      </c>
      <c r="R342" s="1" t="s">
        <v>765</v>
      </c>
      <c r="S342" s="1">
        <v>1565.0</v>
      </c>
      <c r="T342" s="1" t="s">
        <v>28</v>
      </c>
      <c r="U342" s="7">
        <v>3.0</v>
      </c>
      <c r="V342" s="7">
        <v>8.0</v>
      </c>
      <c r="W342" s="7">
        <v>3.0</v>
      </c>
    </row>
    <row r="343">
      <c r="A343" s="3">
        <v>46230.73956018518</v>
      </c>
      <c r="B343" s="1" t="s">
        <v>766</v>
      </c>
      <c r="C343" s="1" t="s">
        <v>532</v>
      </c>
      <c r="D343" s="1">
        <v>3.0</v>
      </c>
      <c r="E343" s="1" t="s">
        <v>184</v>
      </c>
      <c r="F343" s="4">
        <v>1.0</v>
      </c>
      <c r="G343" s="4">
        <v>3.0</v>
      </c>
      <c r="H343" s="4">
        <v>2.0</v>
      </c>
      <c r="I343" s="4">
        <v>0.0</v>
      </c>
      <c r="J343" s="1">
        <v>5.0</v>
      </c>
      <c r="K343" s="1">
        <v>1.0</v>
      </c>
      <c r="L343" s="1">
        <v>-2.0</v>
      </c>
      <c r="M343" s="1">
        <v>0.0</v>
      </c>
      <c r="N343" s="1">
        <v>2.0</v>
      </c>
      <c r="O343" s="1">
        <v>2.0</v>
      </c>
      <c r="P343" s="1">
        <v>0.0</v>
      </c>
      <c r="Q343" s="1"/>
      <c r="R343" s="1"/>
      <c r="S343" s="1">
        <v>2328.0</v>
      </c>
      <c r="T343" s="1" t="s">
        <v>34</v>
      </c>
      <c r="U343" s="7">
        <v>0.0</v>
      </c>
      <c r="V343" s="7">
        <v>4.0</v>
      </c>
      <c r="W343" s="7">
        <v>4.0</v>
      </c>
    </row>
    <row r="344">
      <c r="A344" s="3">
        <v>46230.74811342593</v>
      </c>
      <c r="B344" s="1" t="s">
        <v>767</v>
      </c>
      <c r="C344" s="1" t="s">
        <v>768</v>
      </c>
      <c r="D344" s="1">
        <v>3.0</v>
      </c>
      <c r="E344" s="1" t="s">
        <v>184</v>
      </c>
      <c r="F344" s="4">
        <v>2.0</v>
      </c>
      <c r="G344" s="4">
        <v>1.0</v>
      </c>
      <c r="H344" s="4">
        <v>3.0</v>
      </c>
      <c r="I344" s="4">
        <v>0.0</v>
      </c>
      <c r="J344" s="1">
        <v>4.0</v>
      </c>
      <c r="K344" s="1">
        <v>-2.0</v>
      </c>
      <c r="L344" s="1">
        <v>-2.0</v>
      </c>
      <c r="M344" s="1">
        <v>2.0</v>
      </c>
      <c r="N344" s="1">
        <v>3.0</v>
      </c>
      <c r="O344" s="1">
        <v>3.0</v>
      </c>
      <c r="P344" s="1">
        <v>1.0</v>
      </c>
      <c r="Q344" s="1" t="s">
        <v>769</v>
      </c>
      <c r="R344" s="1" t="s">
        <v>770</v>
      </c>
      <c r="S344" s="1">
        <v>256.0</v>
      </c>
      <c r="T344" s="1" t="s">
        <v>28</v>
      </c>
      <c r="U344" s="7">
        <v>3.0</v>
      </c>
      <c r="V344" s="7">
        <v>6.0</v>
      </c>
      <c r="W344" s="7">
        <v>5.0</v>
      </c>
    </row>
    <row r="345">
      <c r="A345" s="3">
        <v>46230.794016203705</v>
      </c>
      <c r="B345" s="1" t="s">
        <v>771</v>
      </c>
      <c r="C345" s="1" t="s">
        <v>191</v>
      </c>
      <c r="D345" s="1">
        <v>3.0</v>
      </c>
      <c r="E345" s="1" t="s">
        <v>184</v>
      </c>
      <c r="F345" s="4">
        <v>1.0</v>
      </c>
      <c r="G345" s="4">
        <v>4.0</v>
      </c>
      <c r="H345" s="4">
        <v>1.0</v>
      </c>
      <c r="I345" s="4">
        <v>0.0</v>
      </c>
      <c r="J345" s="1">
        <v>6.0</v>
      </c>
      <c r="K345" s="1">
        <v>0.0</v>
      </c>
      <c r="L345" s="1">
        <v>0.0</v>
      </c>
      <c r="M345" s="1">
        <v>2.0</v>
      </c>
      <c r="N345" s="1">
        <v>4.0</v>
      </c>
      <c r="O345" s="1">
        <v>2.0</v>
      </c>
      <c r="P345" s="1">
        <v>2.0</v>
      </c>
      <c r="Q345" s="1" t="s">
        <v>772</v>
      </c>
      <c r="R345" s="1"/>
      <c r="S345" s="1">
        <v>88.0</v>
      </c>
      <c r="T345" s="1" t="s">
        <v>34</v>
      </c>
      <c r="U345" s="7">
        <v>4.0</v>
      </c>
      <c r="V345" s="7">
        <v>6.0</v>
      </c>
      <c r="W345" s="7">
        <v>6.0</v>
      </c>
    </row>
    <row r="346">
      <c r="A346" s="3">
        <v>46230.882361111115</v>
      </c>
      <c r="B346" s="1" t="s">
        <v>773</v>
      </c>
      <c r="C346" s="1" t="s">
        <v>84</v>
      </c>
      <c r="D346" s="1">
        <v>3.0</v>
      </c>
      <c r="E346" s="1" t="s">
        <v>85</v>
      </c>
      <c r="F346" s="4">
        <v>3.0</v>
      </c>
      <c r="G346" s="4">
        <v>0.0</v>
      </c>
      <c r="H346" s="4">
        <v>3.0</v>
      </c>
      <c r="I346" s="4">
        <v>0.0</v>
      </c>
      <c r="J346" s="1">
        <v>4.0</v>
      </c>
      <c r="K346" s="1">
        <v>-3.0</v>
      </c>
      <c r="L346" s="1">
        <v>2.0</v>
      </c>
      <c r="M346" s="1">
        <v>1.0</v>
      </c>
      <c r="N346" s="1">
        <v>1.0</v>
      </c>
      <c r="O346" s="1">
        <v>1.0</v>
      </c>
      <c r="P346" s="1">
        <v>4.0</v>
      </c>
      <c r="Q346" s="1" t="s">
        <v>774</v>
      </c>
      <c r="R346" s="1" t="s">
        <v>775</v>
      </c>
      <c r="S346" s="1">
        <v>110.0</v>
      </c>
      <c r="T346" s="1" t="s">
        <v>28</v>
      </c>
      <c r="U346" s="7">
        <v>5.0</v>
      </c>
      <c r="V346" s="7">
        <v>2.0</v>
      </c>
      <c r="W346" s="7">
        <v>11.0</v>
      </c>
    </row>
    <row r="347">
      <c r="A347" s="3">
        <v>46230.95721064815</v>
      </c>
      <c r="B347" s="1" t="s">
        <v>776</v>
      </c>
      <c r="C347" s="1" t="s">
        <v>240</v>
      </c>
      <c r="D347" s="1">
        <v>3.0</v>
      </c>
      <c r="E347" s="1" t="s">
        <v>184</v>
      </c>
      <c r="F347" s="4">
        <v>3.0</v>
      </c>
      <c r="G347" s="4">
        <v>1.0</v>
      </c>
      <c r="H347" s="4">
        <v>2.0</v>
      </c>
      <c r="I347" s="4">
        <v>0.0</v>
      </c>
      <c r="J347" s="1">
        <v>5.0</v>
      </c>
      <c r="K347" s="1">
        <v>0.0</v>
      </c>
      <c r="L347" s="1">
        <v>0.0</v>
      </c>
      <c r="M347" s="1">
        <v>1.0</v>
      </c>
      <c r="N347" s="1">
        <v>3.0</v>
      </c>
      <c r="O347" s="1">
        <v>2.0</v>
      </c>
      <c r="P347" s="1">
        <v>1.0</v>
      </c>
      <c r="Q347" s="1"/>
      <c r="R347" s="1"/>
      <c r="S347" s="1">
        <v>79.0</v>
      </c>
      <c r="T347" s="1" t="s">
        <v>34</v>
      </c>
      <c r="U347" s="7">
        <v>2.0</v>
      </c>
      <c r="V347" s="7">
        <v>5.0</v>
      </c>
      <c r="W347" s="7">
        <v>5.0</v>
      </c>
    </row>
    <row r="348">
      <c r="A348" s="3">
        <v>46231.20868055556</v>
      </c>
      <c r="B348" s="1" t="s">
        <v>777</v>
      </c>
      <c r="C348" s="1" t="s">
        <v>44</v>
      </c>
      <c r="D348" s="1">
        <v>3.0</v>
      </c>
      <c r="E348" s="1" t="s">
        <v>45</v>
      </c>
      <c r="F348" s="4">
        <v>3.0</v>
      </c>
      <c r="G348" s="4">
        <v>2.0</v>
      </c>
      <c r="H348" s="4">
        <v>1.0</v>
      </c>
      <c r="I348" s="4">
        <v>0.0</v>
      </c>
      <c r="J348" s="1">
        <v>3.0</v>
      </c>
      <c r="K348" s="1">
        <v>0.0</v>
      </c>
      <c r="L348" s="1">
        <v>-1.0</v>
      </c>
      <c r="M348" s="1">
        <v>3.0</v>
      </c>
      <c r="N348" s="1">
        <v>3.0</v>
      </c>
      <c r="O348" s="1">
        <v>2.0</v>
      </c>
      <c r="P348" s="1">
        <v>3.0</v>
      </c>
      <c r="Q348" s="1"/>
      <c r="R348" s="1" t="s">
        <v>778</v>
      </c>
      <c r="S348" s="1">
        <v>90.0</v>
      </c>
      <c r="T348" s="1" t="s">
        <v>28</v>
      </c>
      <c r="U348" s="7">
        <v>6.0</v>
      </c>
      <c r="V348" s="7">
        <v>5.0</v>
      </c>
      <c r="W348" s="7">
        <v>9.0</v>
      </c>
    </row>
    <row r="349">
      <c r="A349" s="3">
        <v>46231.25392361111</v>
      </c>
      <c r="B349" s="1" t="s">
        <v>779</v>
      </c>
      <c r="C349" s="1" t="s">
        <v>249</v>
      </c>
      <c r="D349" s="1">
        <v>3.0</v>
      </c>
      <c r="E349" s="1" t="s">
        <v>184</v>
      </c>
      <c r="F349" s="4">
        <v>1.0</v>
      </c>
      <c r="G349" s="4">
        <v>1.0</v>
      </c>
      <c r="H349" s="4">
        <v>4.0</v>
      </c>
      <c r="I349" s="4">
        <v>0.0</v>
      </c>
      <c r="J349" s="1">
        <v>3.0</v>
      </c>
      <c r="K349" s="1">
        <v>0.0</v>
      </c>
      <c r="L349" s="1">
        <v>2.0</v>
      </c>
      <c r="M349" s="1">
        <v>2.0</v>
      </c>
      <c r="N349" s="1">
        <v>3.0</v>
      </c>
      <c r="O349" s="1">
        <v>2.0</v>
      </c>
      <c r="P349" s="1">
        <v>1.0</v>
      </c>
      <c r="Q349" s="1"/>
      <c r="R349" s="1"/>
      <c r="S349" s="1">
        <v>73.0</v>
      </c>
      <c r="T349" s="1" t="s">
        <v>28</v>
      </c>
      <c r="U349" s="7">
        <v>3.0</v>
      </c>
      <c r="V349" s="7">
        <v>5.0</v>
      </c>
      <c r="W349" s="7">
        <v>6.0</v>
      </c>
    </row>
    <row r="350">
      <c r="A350" s="3">
        <v>46231.3780787037</v>
      </c>
      <c r="B350" s="1" t="s">
        <v>780</v>
      </c>
      <c r="C350" s="1" t="s">
        <v>627</v>
      </c>
      <c r="D350" s="1">
        <v>3.0</v>
      </c>
      <c r="E350" s="1" t="s">
        <v>102</v>
      </c>
      <c r="F350" s="4">
        <v>0.0</v>
      </c>
      <c r="G350" s="4">
        <v>3.0</v>
      </c>
      <c r="H350" s="4">
        <v>3.0</v>
      </c>
      <c r="I350" s="4">
        <v>0.0</v>
      </c>
      <c r="J350" s="1">
        <v>4.0</v>
      </c>
      <c r="K350" s="1">
        <v>-1.0</v>
      </c>
      <c r="L350" s="1">
        <v>-1.0</v>
      </c>
      <c r="M350" s="1">
        <v>1.0</v>
      </c>
      <c r="N350" s="1">
        <v>2.0</v>
      </c>
      <c r="O350" s="1">
        <v>2.0</v>
      </c>
      <c r="P350" s="1">
        <v>0.0</v>
      </c>
      <c r="Q350" s="1" t="s">
        <v>781</v>
      </c>
      <c r="R350" s="1"/>
      <c r="S350" s="1">
        <v>50912.0</v>
      </c>
      <c r="T350" s="1" t="s">
        <v>34</v>
      </c>
      <c r="U350" s="7">
        <v>1.0</v>
      </c>
      <c r="V350" s="7">
        <v>4.0</v>
      </c>
      <c r="W350" s="7">
        <v>5.0</v>
      </c>
    </row>
    <row r="351">
      <c r="A351" s="3">
        <v>46231.499548611115</v>
      </c>
      <c r="B351" s="1" t="s">
        <v>782</v>
      </c>
      <c r="C351" s="1" t="s">
        <v>266</v>
      </c>
      <c r="D351" s="1">
        <v>3.0</v>
      </c>
      <c r="E351" s="1" t="s">
        <v>192</v>
      </c>
      <c r="F351" s="4">
        <v>1.0</v>
      </c>
      <c r="G351" s="4">
        <v>3.0</v>
      </c>
      <c r="H351" s="4">
        <v>2.0</v>
      </c>
      <c r="I351" s="4">
        <v>0.0</v>
      </c>
      <c r="J351" s="1">
        <v>6.0</v>
      </c>
      <c r="K351" s="1">
        <v>0.0</v>
      </c>
      <c r="L351" s="1">
        <v>-2.0</v>
      </c>
      <c r="M351" s="1">
        <v>0.0</v>
      </c>
      <c r="N351" s="1">
        <v>4.0</v>
      </c>
      <c r="O351" s="1">
        <v>3.0</v>
      </c>
      <c r="P351" s="1">
        <v>0.0</v>
      </c>
      <c r="Q351" s="1"/>
      <c r="R351" s="1"/>
      <c r="S351" s="1">
        <v>82.0</v>
      </c>
      <c r="T351" s="1" t="s">
        <v>34</v>
      </c>
      <c r="U351" s="7">
        <v>0.0</v>
      </c>
      <c r="V351" s="7">
        <v>7.0</v>
      </c>
      <c r="W351" s="7">
        <v>1.0</v>
      </c>
    </row>
    <row r="352">
      <c r="A352" s="3">
        <v>46231.51291666667</v>
      </c>
      <c r="B352" s="1" t="s">
        <v>783</v>
      </c>
      <c r="C352" s="1" t="s">
        <v>162</v>
      </c>
      <c r="D352" s="1">
        <v>2.0</v>
      </c>
      <c r="E352" s="1" t="s">
        <v>102</v>
      </c>
      <c r="F352" s="4">
        <v>1.0</v>
      </c>
      <c r="G352" s="4">
        <v>2.0</v>
      </c>
      <c r="H352" s="4">
        <v>3.0</v>
      </c>
      <c r="I352" s="4">
        <v>0.0</v>
      </c>
      <c r="J352" s="1">
        <v>4.0</v>
      </c>
      <c r="K352" s="1">
        <v>0.0</v>
      </c>
      <c r="L352" s="1">
        <v>0.0</v>
      </c>
      <c r="M352" s="1">
        <v>2.0</v>
      </c>
      <c r="N352" s="1">
        <v>3.0</v>
      </c>
      <c r="O352" s="1">
        <v>2.0</v>
      </c>
      <c r="P352" s="1">
        <v>2.0</v>
      </c>
      <c r="Q352" s="1"/>
      <c r="R352" s="1"/>
      <c r="S352" s="1">
        <v>80.0</v>
      </c>
      <c r="T352" s="1" t="s">
        <v>34</v>
      </c>
      <c r="U352" s="7">
        <v>4.0</v>
      </c>
      <c r="V352" s="7">
        <v>5.0</v>
      </c>
      <c r="W352" s="7">
        <v>7.0</v>
      </c>
    </row>
    <row r="353">
      <c r="A353" s="3">
        <v>46231.51658564815</v>
      </c>
      <c r="B353" s="1" t="s">
        <v>784</v>
      </c>
      <c r="C353" s="1" t="s">
        <v>162</v>
      </c>
      <c r="D353" s="1">
        <v>3.0</v>
      </c>
      <c r="E353" s="1" t="s">
        <v>102</v>
      </c>
      <c r="F353" s="4">
        <v>2.0</v>
      </c>
      <c r="G353" s="4">
        <v>2.0</v>
      </c>
      <c r="H353" s="4">
        <v>2.0</v>
      </c>
      <c r="I353" s="4">
        <v>0.0</v>
      </c>
      <c r="J353" s="1">
        <v>4.0</v>
      </c>
      <c r="K353" s="1">
        <v>-1.0</v>
      </c>
      <c r="L353" s="1">
        <v>-1.0</v>
      </c>
      <c r="M353" s="1">
        <v>2.0</v>
      </c>
      <c r="N353" s="1">
        <v>3.0</v>
      </c>
      <c r="O353" s="1">
        <v>3.0</v>
      </c>
      <c r="P353" s="1">
        <v>2.0</v>
      </c>
      <c r="Q353" s="1" t="s">
        <v>785</v>
      </c>
      <c r="R353" s="1"/>
      <c r="S353" s="1">
        <v>176.0</v>
      </c>
      <c r="T353" s="1" t="s">
        <v>34</v>
      </c>
      <c r="U353" s="7">
        <v>4.0</v>
      </c>
      <c r="V353" s="7">
        <v>6.0</v>
      </c>
      <c r="W353" s="7">
        <v>6.0</v>
      </c>
    </row>
    <row r="354">
      <c r="A354" s="3">
        <v>46231.57310185185</v>
      </c>
      <c r="B354" s="1" t="s">
        <v>786</v>
      </c>
      <c r="C354" s="1" t="s">
        <v>111</v>
      </c>
      <c r="D354" s="1">
        <v>3.0</v>
      </c>
      <c r="E354" s="1" t="s">
        <v>184</v>
      </c>
      <c r="F354" s="4">
        <v>1.0</v>
      </c>
      <c r="G354" s="4">
        <v>1.0</v>
      </c>
      <c r="H354" s="4">
        <v>4.0</v>
      </c>
      <c r="I354" s="4">
        <v>0.0</v>
      </c>
      <c r="J354" s="1">
        <v>2.0</v>
      </c>
      <c r="K354" s="1">
        <v>-2.0</v>
      </c>
      <c r="L354" s="1">
        <v>-2.0</v>
      </c>
      <c r="M354" s="1">
        <v>4.0</v>
      </c>
      <c r="N354" s="1">
        <v>3.0</v>
      </c>
      <c r="O354" s="1">
        <v>3.0</v>
      </c>
      <c r="P354" s="1">
        <v>3.0</v>
      </c>
      <c r="Q354" s="1" t="s">
        <v>787</v>
      </c>
      <c r="R354" s="1"/>
      <c r="S354" s="1">
        <v>65.0</v>
      </c>
      <c r="T354" s="1" t="s">
        <v>28</v>
      </c>
      <c r="U354" s="7">
        <v>7.0</v>
      </c>
      <c r="V354" s="7">
        <v>6.0</v>
      </c>
      <c r="W354" s="7">
        <v>9.0</v>
      </c>
    </row>
    <row r="355">
      <c r="A355" s="3">
        <v>46231.77333333333</v>
      </c>
      <c r="B355" s="1" t="s">
        <v>788</v>
      </c>
      <c r="C355" s="1" t="s">
        <v>387</v>
      </c>
      <c r="D355" s="1">
        <v>3.0</v>
      </c>
      <c r="E355" s="1" t="s">
        <v>192</v>
      </c>
      <c r="F355" s="4">
        <v>0.0</v>
      </c>
      <c r="G355" s="4">
        <v>2.0</v>
      </c>
      <c r="H355" s="4">
        <v>4.0</v>
      </c>
      <c r="I355" s="4">
        <v>0.0</v>
      </c>
      <c r="J355" s="1">
        <v>6.0</v>
      </c>
      <c r="K355" s="1">
        <v>2.0</v>
      </c>
      <c r="L355" s="1">
        <v>-2.0</v>
      </c>
      <c r="M355" s="1">
        <v>1.0</v>
      </c>
      <c r="N355" s="1">
        <v>4.0</v>
      </c>
      <c r="O355" s="1">
        <v>3.0</v>
      </c>
      <c r="P355" s="1">
        <v>2.0</v>
      </c>
      <c r="Q355" s="1" t="s">
        <v>789</v>
      </c>
      <c r="R355" s="1" t="s">
        <v>790</v>
      </c>
      <c r="S355" s="1">
        <v>549.0</v>
      </c>
      <c r="T355" s="1" t="s">
        <v>28</v>
      </c>
      <c r="U355" s="7">
        <v>3.0</v>
      </c>
      <c r="V355" s="7">
        <v>7.0</v>
      </c>
      <c r="W355" s="7">
        <v>4.0</v>
      </c>
    </row>
    <row r="356">
      <c r="A356" s="3">
        <v>46231.843981481485</v>
      </c>
      <c r="B356" s="1" t="s">
        <v>791</v>
      </c>
      <c r="C356" s="1" t="s">
        <v>419</v>
      </c>
      <c r="D356" s="1">
        <v>3.0</v>
      </c>
      <c r="E356" s="1" t="s">
        <v>184</v>
      </c>
      <c r="F356" s="4">
        <v>2.0</v>
      </c>
      <c r="G356" s="4">
        <v>3.0</v>
      </c>
      <c r="H356" s="4">
        <v>1.0</v>
      </c>
      <c r="I356" s="4">
        <v>0.0</v>
      </c>
      <c r="J356" s="1">
        <v>5.0</v>
      </c>
      <c r="K356" s="1">
        <v>1.0</v>
      </c>
      <c r="L356" s="1">
        <v>-1.0</v>
      </c>
      <c r="M356" s="1">
        <v>1.0</v>
      </c>
      <c r="N356" s="1">
        <v>2.0</v>
      </c>
      <c r="O356" s="1">
        <v>3.0</v>
      </c>
      <c r="P356" s="1">
        <v>2.0</v>
      </c>
      <c r="Q356" s="1"/>
      <c r="R356" s="1"/>
      <c r="S356" s="1">
        <v>152.0</v>
      </c>
      <c r="T356" s="1" t="s">
        <v>28</v>
      </c>
      <c r="U356" s="7">
        <v>3.0</v>
      </c>
      <c r="V356" s="7">
        <v>5.0</v>
      </c>
      <c r="W356" s="7">
        <v>6.0</v>
      </c>
    </row>
    <row r="357">
      <c r="A357" s="3">
        <v>46232.02627314815</v>
      </c>
      <c r="B357" s="1" t="s">
        <v>792</v>
      </c>
      <c r="C357" s="1" t="s">
        <v>297</v>
      </c>
      <c r="D357" s="1">
        <v>3.0</v>
      </c>
      <c r="E357" s="1" t="s">
        <v>102</v>
      </c>
      <c r="F357" s="4">
        <v>2.0</v>
      </c>
      <c r="G357" s="4">
        <v>2.0</v>
      </c>
      <c r="H357" s="4">
        <v>2.0</v>
      </c>
      <c r="I357" s="4">
        <v>0.0</v>
      </c>
      <c r="J357" s="1">
        <v>3.0</v>
      </c>
      <c r="K357" s="1">
        <v>-1.0</v>
      </c>
      <c r="L357" s="1">
        <v>1.0</v>
      </c>
      <c r="M357" s="1">
        <v>1.0</v>
      </c>
      <c r="N357" s="1">
        <v>2.0</v>
      </c>
      <c r="O357" s="1">
        <v>2.0</v>
      </c>
      <c r="P357" s="1">
        <v>1.0</v>
      </c>
      <c r="Q357" s="1"/>
      <c r="R357" s="1"/>
      <c r="S357" s="1">
        <v>40.0</v>
      </c>
      <c r="T357" s="1" t="s">
        <v>34</v>
      </c>
      <c r="U357" s="7">
        <v>2.0</v>
      </c>
      <c r="V357" s="7">
        <v>4.0</v>
      </c>
      <c r="W357" s="7">
        <v>6.0</v>
      </c>
    </row>
    <row r="358">
      <c r="A358" s="3">
        <v>46232.095613425925</v>
      </c>
      <c r="B358" s="1" t="s">
        <v>793</v>
      </c>
      <c r="C358" s="1" t="s">
        <v>171</v>
      </c>
      <c r="D358" s="1">
        <v>3.0</v>
      </c>
      <c r="E358" s="1" t="s">
        <v>90</v>
      </c>
      <c r="F358" s="4">
        <v>0.0</v>
      </c>
      <c r="G358" s="4">
        <v>2.0</v>
      </c>
      <c r="H358" s="4">
        <v>2.0</v>
      </c>
      <c r="I358" s="4">
        <v>2.0</v>
      </c>
      <c r="J358" s="1">
        <v>3.0</v>
      </c>
      <c r="K358" s="1">
        <v>-1.0</v>
      </c>
      <c r="L358" s="1">
        <v>-2.0</v>
      </c>
      <c r="M358" s="1">
        <v>2.0</v>
      </c>
      <c r="N358" s="1">
        <v>2.0</v>
      </c>
      <c r="O358" s="1">
        <v>2.0</v>
      </c>
      <c r="P358" s="1">
        <v>2.0</v>
      </c>
      <c r="Q358" s="1" t="s">
        <v>794</v>
      </c>
      <c r="R358" s="1"/>
      <c r="S358" s="1">
        <v>118.0</v>
      </c>
      <c r="T358" s="1" t="s">
        <v>34</v>
      </c>
      <c r="U358" s="7">
        <v>4.0</v>
      </c>
      <c r="V358" s="7">
        <v>4.0</v>
      </c>
      <c r="W358" s="7">
        <v>8.0</v>
      </c>
    </row>
    <row r="359">
      <c r="A359" s="3">
        <v>46232.389710648145</v>
      </c>
      <c r="B359" s="1" t="s">
        <v>795</v>
      </c>
      <c r="C359" s="1" t="s">
        <v>659</v>
      </c>
      <c r="D359" s="1">
        <v>3.0</v>
      </c>
      <c r="E359" s="1" t="s">
        <v>102</v>
      </c>
      <c r="F359" s="4">
        <v>2.0</v>
      </c>
      <c r="G359" s="4">
        <v>0.0</v>
      </c>
      <c r="H359" s="4">
        <v>4.0</v>
      </c>
      <c r="I359" s="4">
        <v>0.0</v>
      </c>
      <c r="J359" s="1">
        <v>3.0</v>
      </c>
      <c r="K359" s="1">
        <v>-2.0</v>
      </c>
      <c r="L359" s="1">
        <v>-1.0</v>
      </c>
      <c r="M359" s="1">
        <v>3.0</v>
      </c>
      <c r="N359" s="1">
        <v>2.0</v>
      </c>
      <c r="O359" s="1">
        <v>2.0</v>
      </c>
      <c r="P359" s="1">
        <v>4.0</v>
      </c>
      <c r="Q359" s="1"/>
      <c r="R359" s="1"/>
      <c r="S359" s="1">
        <v>60.0</v>
      </c>
      <c r="T359" s="1" t="s">
        <v>34</v>
      </c>
      <c r="U359" s="7">
        <v>7.0</v>
      </c>
      <c r="V359" s="7">
        <v>4.0</v>
      </c>
      <c r="W359" s="7">
        <v>11.0</v>
      </c>
    </row>
    <row r="360">
      <c r="A360" s="3">
        <v>46232.47760416667</v>
      </c>
      <c r="B360" s="1" t="s">
        <v>796</v>
      </c>
      <c r="C360" s="1" t="s">
        <v>303</v>
      </c>
      <c r="D360" s="1">
        <v>3.0</v>
      </c>
      <c r="E360" s="1" t="s">
        <v>184</v>
      </c>
      <c r="F360" s="4">
        <v>1.0</v>
      </c>
      <c r="G360" s="4">
        <v>4.0</v>
      </c>
      <c r="H360" s="4">
        <v>1.0</v>
      </c>
      <c r="I360" s="4">
        <v>0.0</v>
      </c>
      <c r="J360" s="1">
        <v>7.0</v>
      </c>
      <c r="K360" s="1">
        <v>0.0</v>
      </c>
      <c r="L360" s="1">
        <v>-1.0</v>
      </c>
      <c r="M360" s="1">
        <v>2.0</v>
      </c>
      <c r="N360" s="1">
        <v>3.0</v>
      </c>
      <c r="O360" s="1">
        <v>3.0</v>
      </c>
      <c r="P360" s="1">
        <v>2.0</v>
      </c>
      <c r="Q360" s="1"/>
      <c r="R360" s="1"/>
      <c r="S360" s="1">
        <v>246.0</v>
      </c>
      <c r="T360" s="1" t="s">
        <v>34</v>
      </c>
      <c r="U360" s="7">
        <v>4.0</v>
      </c>
      <c r="V360" s="7">
        <v>6.0</v>
      </c>
      <c r="W360" s="7">
        <v>6.0</v>
      </c>
    </row>
    <row r="361">
      <c r="A361" s="3">
        <v>46232.517476851855</v>
      </c>
      <c r="B361" s="1" t="s">
        <v>797</v>
      </c>
      <c r="C361" s="1" t="s">
        <v>114</v>
      </c>
      <c r="D361" s="1">
        <v>3.0</v>
      </c>
      <c r="E361" s="1" t="s">
        <v>90</v>
      </c>
      <c r="F361" s="4">
        <v>3.0</v>
      </c>
      <c r="G361" s="4">
        <v>2.0</v>
      </c>
      <c r="H361" s="4">
        <v>0.0</v>
      </c>
      <c r="I361" s="4">
        <v>1.0</v>
      </c>
      <c r="J361" s="1">
        <v>6.0</v>
      </c>
      <c r="K361" s="1">
        <v>-1.0</v>
      </c>
      <c r="L361" s="1">
        <v>2.0</v>
      </c>
      <c r="M361" s="1">
        <v>2.0</v>
      </c>
      <c r="N361" s="1">
        <v>2.0</v>
      </c>
      <c r="O361" s="1">
        <v>2.0</v>
      </c>
      <c r="P361" s="1">
        <v>2.0</v>
      </c>
      <c r="Q361" s="1" t="s">
        <v>798</v>
      </c>
      <c r="R361" s="1" t="s">
        <v>799</v>
      </c>
      <c r="S361" s="1">
        <v>418.0</v>
      </c>
      <c r="T361" s="1" t="s">
        <v>34</v>
      </c>
      <c r="U361" s="7">
        <v>4.0</v>
      </c>
      <c r="V361" s="7">
        <v>4.0</v>
      </c>
      <c r="W361" s="7">
        <v>8.0</v>
      </c>
    </row>
    <row r="362">
      <c r="A362" s="3">
        <v>46232.52993055555</v>
      </c>
      <c r="B362" s="1" t="s">
        <v>800</v>
      </c>
      <c r="C362" s="1" t="s">
        <v>284</v>
      </c>
      <c r="D362" s="1">
        <v>3.0</v>
      </c>
      <c r="E362" s="1" t="s">
        <v>102</v>
      </c>
      <c r="F362" s="4">
        <v>1.0</v>
      </c>
      <c r="G362" s="4">
        <v>2.0</v>
      </c>
      <c r="H362" s="4">
        <v>3.0</v>
      </c>
      <c r="I362" s="4">
        <v>0.0</v>
      </c>
      <c r="J362" s="1">
        <v>4.0</v>
      </c>
      <c r="K362" s="1">
        <v>0.0</v>
      </c>
      <c r="L362" s="1">
        <v>1.0</v>
      </c>
      <c r="M362" s="1">
        <v>2.0</v>
      </c>
      <c r="N362" s="1">
        <v>2.0</v>
      </c>
      <c r="O362" s="1">
        <v>2.0</v>
      </c>
      <c r="P362" s="1">
        <v>1.0</v>
      </c>
      <c r="Q362" s="1"/>
      <c r="R362" s="1"/>
      <c r="S362" s="1">
        <v>47.0</v>
      </c>
      <c r="T362" s="1" t="s">
        <v>34</v>
      </c>
      <c r="U362" s="7">
        <v>3.0</v>
      </c>
      <c r="V362" s="7">
        <v>4.0</v>
      </c>
      <c r="W362" s="7">
        <v>7.0</v>
      </c>
    </row>
    <row r="363">
      <c r="A363" s="3">
        <v>46232.66837962963</v>
      </c>
      <c r="B363" s="1" t="s">
        <v>801</v>
      </c>
      <c r="C363" s="1" t="s">
        <v>274</v>
      </c>
      <c r="D363" s="1">
        <v>2.0</v>
      </c>
      <c r="E363" s="1" t="s">
        <v>192</v>
      </c>
      <c r="F363" s="4">
        <v>1.0</v>
      </c>
      <c r="G363" s="4">
        <v>2.0</v>
      </c>
      <c r="H363" s="4">
        <v>3.0</v>
      </c>
      <c r="I363" s="4">
        <v>0.0</v>
      </c>
      <c r="J363" s="1">
        <v>4.0</v>
      </c>
      <c r="K363" s="1">
        <v>-1.0</v>
      </c>
      <c r="L363" s="1">
        <v>-2.0</v>
      </c>
      <c r="M363" s="1">
        <v>3.0</v>
      </c>
      <c r="N363" s="1">
        <v>2.0</v>
      </c>
      <c r="O363" s="1">
        <v>2.0</v>
      </c>
      <c r="P363" s="1">
        <v>2.0</v>
      </c>
      <c r="Q363" s="1" t="s">
        <v>802</v>
      </c>
      <c r="R363" s="1"/>
      <c r="S363" s="1">
        <v>133.0</v>
      </c>
      <c r="T363" s="1" t="s">
        <v>34</v>
      </c>
      <c r="U363" s="7">
        <v>5.0</v>
      </c>
      <c r="V363" s="7">
        <v>4.0</v>
      </c>
      <c r="W363" s="7">
        <v>9.0</v>
      </c>
    </row>
    <row r="364">
      <c r="A364" s="3">
        <v>46234.00304398148</v>
      </c>
      <c r="B364" s="1" t="s">
        <v>803</v>
      </c>
      <c r="C364" s="1" t="s">
        <v>804</v>
      </c>
      <c r="D364" s="1">
        <v>2.0</v>
      </c>
      <c r="E364" s="1" t="s">
        <v>102</v>
      </c>
      <c r="F364" s="4">
        <v>4.0</v>
      </c>
      <c r="G364" s="4">
        <v>1.0</v>
      </c>
      <c r="H364" s="4">
        <v>1.0</v>
      </c>
      <c r="I364" s="4">
        <v>0.0</v>
      </c>
      <c r="J364" s="1">
        <v>6.0</v>
      </c>
      <c r="K364" s="1">
        <v>2.0</v>
      </c>
      <c r="L364" s="1">
        <v>-1.0</v>
      </c>
      <c r="M364" s="1">
        <v>2.0</v>
      </c>
      <c r="N364" s="1">
        <v>3.0</v>
      </c>
      <c r="O364" s="1">
        <v>3.0</v>
      </c>
      <c r="P364" s="1">
        <v>1.0</v>
      </c>
      <c r="Q364" s="1" t="s">
        <v>805</v>
      </c>
      <c r="R364" s="1"/>
      <c r="S364" s="1">
        <v>225.0</v>
      </c>
      <c r="T364" s="1" t="s">
        <v>34</v>
      </c>
      <c r="U364" s="7">
        <v>3.0</v>
      </c>
      <c r="V364" s="7">
        <v>6.0</v>
      </c>
      <c r="W364" s="7">
        <v>5.0</v>
      </c>
    </row>
    <row r="365">
      <c r="A365" s="3">
        <v>46234.00696759259</v>
      </c>
      <c r="B365" s="1" t="s">
        <v>806</v>
      </c>
      <c r="C365" s="1" t="s">
        <v>804</v>
      </c>
      <c r="D365" s="1">
        <v>3.0</v>
      </c>
      <c r="E365" s="1" t="s">
        <v>102</v>
      </c>
      <c r="F365" s="4">
        <v>4.0</v>
      </c>
      <c r="G365" s="4">
        <v>1.0</v>
      </c>
      <c r="H365" s="4">
        <v>1.0</v>
      </c>
      <c r="I365" s="4">
        <v>0.0</v>
      </c>
      <c r="J365" s="1">
        <v>6.0</v>
      </c>
      <c r="K365" s="1">
        <v>1.0</v>
      </c>
      <c r="L365" s="1">
        <v>0.0</v>
      </c>
      <c r="M365" s="1">
        <v>1.0</v>
      </c>
      <c r="N365" s="1">
        <v>3.0</v>
      </c>
      <c r="O365" s="1">
        <v>3.0</v>
      </c>
      <c r="P365" s="1">
        <v>1.0</v>
      </c>
      <c r="Q365" s="1" t="s">
        <v>807</v>
      </c>
      <c r="R365" s="1" t="s">
        <v>808</v>
      </c>
      <c r="S365" s="1">
        <v>325.0</v>
      </c>
      <c r="T365" s="1" t="s">
        <v>34</v>
      </c>
      <c r="U365" s="7">
        <v>2.0</v>
      </c>
      <c r="V365" s="7">
        <v>6.0</v>
      </c>
      <c r="W365" s="7">
        <v>4.0</v>
      </c>
    </row>
    <row r="366">
      <c r="A366" s="3">
        <v>46235.27777777778</v>
      </c>
      <c r="B366" s="1" t="s">
        <v>809</v>
      </c>
      <c r="C366" s="1" t="s">
        <v>413</v>
      </c>
      <c r="D366" s="1">
        <v>3.0</v>
      </c>
      <c r="E366" s="1" t="s">
        <v>102</v>
      </c>
      <c r="F366" s="4">
        <v>0.0</v>
      </c>
      <c r="G366" s="4">
        <v>3.0</v>
      </c>
      <c r="H366" s="4">
        <v>1.0</v>
      </c>
      <c r="I366" s="4">
        <v>2.0</v>
      </c>
      <c r="J366" s="1">
        <v>5.0</v>
      </c>
      <c r="K366" s="1">
        <v>1.0</v>
      </c>
      <c r="L366" s="1">
        <v>0.0</v>
      </c>
      <c r="M366" s="1">
        <v>1.0</v>
      </c>
      <c r="N366" s="1">
        <v>3.0</v>
      </c>
      <c r="O366" s="1">
        <v>3.0</v>
      </c>
      <c r="P366" s="1">
        <v>1.0</v>
      </c>
      <c r="Q366" s="1"/>
      <c r="R366" s="1"/>
      <c r="S366" s="1">
        <v>55.0</v>
      </c>
      <c r="T366" s="1" t="s">
        <v>28</v>
      </c>
      <c r="U366" s="7">
        <v>2.0</v>
      </c>
      <c r="V366" s="7">
        <v>6.0</v>
      </c>
      <c r="W366" s="7">
        <v>4.0</v>
      </c>
    </row>
    <row r="367">
      <c r="A367" s="3">
        <v>46235.448587962965</v>
      </c>
      <c r="B367" s="1" t="s">
        <v>810</v>
      </c>
      <c r="C367" s="1" t="s">
        <v>281</v>
      </c>
      <c r="D367" s="1">
        <v>3.0</v>
      </c>
      <c r="E367" s="1" t="s">
        <v>102</v>
      </c>
      <c r="F367" s="4">
        <v>1.0</v>
      </c>
      <c r="G367" s="4">
        <v>2.0</v>
      </c>
      <c r="H367" s="4">
        <v>1.0</v>
      </c>
      <c r="I367" s="4">
        <v>2.0</v>
      </c>
      <c r="J367" s="1">
        <v>6.0</v>
      </c>
      <c r="K367" s="1">
        <v>-2.0</v>
      </c>
      <c r="L367" s="1">
        <v>-2.0</v>
      </c>
      <c r="M367" s="1">
        <v>2.0</v>
      </c>
      <c r="N367" s="1">
        <v>3.0</v>
      </c>
      <c r="O367" s="1">
        <v>3.0</v>
      </c>
      <c r="P367" s="1">
        <v>0.0</v>
      </c>
      <c r="Q367" s="1"/>
      <c r="R367" s="1"/>
      <c r="S367" s="1">
        <v>74.0</v>
      </c>
      <c r="T367" s="1" t="s">
        <v>34</v>
      </c>
      <c r="U367" s="7">
        <v>2.0</v>
      </c>
      <c r="V367" s="7">
        <v>6.0</v>
      </c>
      <c r="W367" s="7">
        <v>4.0</v>
      </c>
    </row>
    <row r="368">
      <c r="A368" s="3">
        <v>46236.38484953704</v>
      </c>
      <c r="B368" s="1" t="s">
        <v>811</v>
      </c>
      <c r="C368" s="1" t="s">
        <v>41</v>
      </c>
      <c r="D368" s="1">
        <v>4.0</v>
      </c>
      <c r="E368" s="1" t="s">
        <v>31</v>
      </c>
      <c r="F368" s="4">
        <v>2.0</v>
      </c>
      <c r="G368" s="4">
        <v>2.0</v>
      </c>
      <c r="H368" s="4">
        <v>2.0</v>
      </c>
      <c r="I368" s="4">
        <v>0.0</v>
      </c>
      <c r="J368" s="1">
        <v>7.0</v>
      </c>
      <c r="K368" s="1">
        <v>1.0</v>
      </c>
      <c r="L368" s="1">
        <v>-1.0</v>
      </c>
      <c r="M368" s="1">
        <v>0.0</v>
      </c>
      <c r="N368" s="1">
        <v>3.0</v>
      </c>
      <c r="O368" s="1">
        <v>4.0</v>
      </c>
      <c r="P368" s="1">
        <v>0.0</v>
      </c>
      <c r="Q368" s="1"/>
      <c r="R368" s="1"/>
      <c r="S368" s="1">
        <v>102.0</v>
      </c>
      <c r="T368" s="1" t="s">
        <v>28</v>
      </c>
      <c r="U368" s="7">
        <v>0.0</v>
      </c>
      <c r="V368" s="7">
        <v>7.0</v>
      </c>
      <c r="W368" s="7">
        <v>1.0</v>
      </c>
    </row>
    <row r="369">
      <c r="A369" s="3">
        <v>46236.38502314815</v>
      </c>
      <c r="B369" s="1" t="s">
        <v>812</v>
      </c>
      <c r="C369" s="1" t="s">
        <v>183</v>
      </c>
      <c r="D369" s="1">
        <v>4.0</v>
      </c>
      <c r="E369" s="1" t="s">
        <v>184</v>
      </c>
      <c r="F369" s="4">
        <v>2.0</v>
      </c>
      <c r="G369" s="4">
        <v>3.0</v>
      </c>
      <c r="H369" s="4">
        <v>1.0</v>
      </c>
      <c r="I369" s="4">
        <v>0.0</v>
      </c>
      <c r="J369" s="1">
        <v>5.0</v>
      </c>
      <c r="K369" s="1">
        <v>1.0</v>
      </c>
      <c r="L369" s="1">
        <v>-2.0</v>
      </c>
      <c r="M369" s="1">
        <v>2.0</v>
      </c>
      <c r="N369" s="1">
        <v>2.0</v>
      </c>
      <c r="O369" s="1">
        <v>2.0</v>
      </c>
      <c r="P369" s="1">
        <v>1.0</v>
      </c>
      <c r="Q369" s="1"/>
      <c r="R369" s="1"/>
      <c r="S369" s="1">
        <v>75.0</v>
      </c>
      <c r="T369" s="1" t="s">
        <v>28</v>
      </c>
      <c r="U369" s="7">
        <v>3.0</v>
      </c>
      <c r="V369" s="7">
        <v>4.0</v>
      </c>
      <c r="W369" s="7">
        <v>7.0</v>
      </c>
    </row>
    <row r="370">
      <c r="A370" s="3">
        <v>46236.39015046296</v>
      </c>
      <c r="B370" s="1" t="s">
        <v>813</v>
      </c>
      <c r="C370" s="1" t="s">
        <v>98</v>
      </c>
      <c r="D370" s="1">
        <v>3.0</v>
      </c>
      <c r="E370" s="1" t="s">
        <v>26</v>
      </c>
      <c r="F370" s="4">
        <v>1.0</v>
      </c>
      <c r="G370" s="4">
        <v>2.0</v>
      </c>
      <c r="H370" s="4">
        <v>3.0</v>
      </c>
      <c r="I370" s="4">
        <v>0.0</v>
      </c>
      <c r="J370" s="1">
        <v>5.0</v>
      </c>
      <c r="K370" s="1">
        <v>1.0</v>
      </c>
      <c r="L370" s="1">
        <v>-1.0</v>
      </c>
      <c r="M370" s="1">
        <v>1.0</v>
      </c>
      <c r="N370" s="1">
        <v>4.0</v>
      </c>
      <c r="O370" s="1">
        <v>4.0</v>
      </c>
      <c r="P370" s="1">
        <v>0.0</v>
      </c>
      <c r="Q370" s="1"/>
      <c r="R370" s="1"/>
      <c r="S370" s="1">
        <v>92.0</v>
      </c>
      <c r="T370" s="1" t="s">
        <v>28</v>
      </c>
      <c r="U370" s="7">
        <v>1.0</v>
      </c>
      <c r="V370" s="7">
        <v>8.0</v>
      </c>
      <c r="W370" s="7">
        <v>1.0</v>
      </c>
    </row>
    <row r="371">
      <c r="A371" s="3">
        <v>46236.39164351852</v>
      </c>
      <c r="B371" s="1" t="s">
        <v>814</v>
      </c>
      <c r="C371" s="1" t="s">
        <v>189</v>
      </c>
      <c r="D371" s="1">
        <v>4.0</v>
      </c>
      <c r="E371" s="1" t="s">
        <v>184</v>
      </c>
      <c r="F371" s="4">
        <v>0.0</v>
      </c>
      <c r="G371" s="4">
        <v>3.0</v>
      </c>
      <c r="H371" s="4">
        <v>3.0</v>
      </c>
      <c r="I371" s="4">
        <v>0.0</v>
      </c>
      <c r="J371" s="1">
        <v>4.0</v>
      </c>
      <c r="K371" s="1">
        <v>0.0</v>
      </c>
      <c r="L371" s="1">
        <v>0.0</v>
      </c>
      <c r="M371" s="1">
        <v>0.0</v>
      </c>
      <c r="N371" s="1">
        <v>2.0</v>
      </c>
      <c r="O371" s="1">
        <v>1.0</v>
      </c>
      <c r="P371" s="1">
        <v>0.0</v>
      </c>
      <c r="Q371" s="1"/>
      <c r="R371" s="1"/>
      <c r="S371" s="1">
        <v>42.0</v>
      </c>
      <c r="T371" s="1" t="s">
        <v>34</v>
      </c>
      <c r="U371" s="7">
        <v>0.0</v>
      </c>
      <c r="V371" s="7">
        <v>3.0</v>
      </c>
      <c r="W371" s="7">
        <v>5.0</v>
      </c>
    </row>
    <row r="372">
      <c r="A372" s="3">
        <v>46236.39193287037</v>
      </c>
      <c r="B372" s="1" t="s">
        <v>815</v>
      </c>
      <c r="C372" s="1" t="s">
        <v>98</v>
      </c>
      <c r="D372" s="1">
        <v>4.0</v>
      </c>
      <c r="E372" s="1" t="s">
        <v>26</v>
      </c>
      <c r="F372" s="4">
        <v>1.0</v>
      </c>
      <c r="G372" s="4">
        <v>2.0</v>
      </c>
      <c r="H372" s="4">
        <v>3.0</v>
      </c>
      <c r="I372" s="4">
        <v>0.0</v>
      </c>
      <c r="J372" s="1">
        <v>6.0</v>
      </c>
      <c r="K372" s="1">
        <v>2.0</v>
      </c>
      <c r="L372" s="1">
        <v>-1.0</v>
      </c>
      <c r="M372" s="1">
        <v>1.0</v>
      </c>
      <c r="N372" s="1">
        <v>4.0</v>
      </c>
      <c r="O372" s="1">
        <v>4.0</v>
      </c>
      <c r="P372" s="1">
        <v>0.0</v>
      </c>
      <c r="Q372" s="1" t="s">
        <v>817</v>
      </c>
      <c r="R372" s="1"/>
      <c r="S372" s="1">
        <v>144.0</v>
      </c>
      <c r="T372" s="1" t="s">
        <v>28</v>
      </c>
      <c r="U372" s="7">
        <v>1.0</v>
      </c>
      <c r="V372" s="7">
        <v>8.0</v>
      </c>
      <c r="W372" s="7">
        <v>1.0</v>
      </c>
    </row>
    <row r="373">
      <c r="A373" s="3">
        <v>46236.393229166664</v>
      </c>
      <c r="B373" s="1" t="s">
        <v>818</v>
      </c>
      <c r="C373" s="1" t="s">
        <v>191</v>
      </c>
      <c r="D373" s="1">
        <v>4.0</v>
      </c>
      <c r="E373" s="1" t="s">
        <v>192</v>
      </c>
      <c r="F373" s="4">
        <v>1.0</v>
      </c>
      <c r="G373" s="4">
        <v>2.0</v>
      </c>
      <c r="H373" s="4">
        <v>3.0</v>
      </c>
      <c r="I373" s="4">
        <v>0.0</v>
      </c>
      <c r="J373" s="1">
        <v>6.0</v>
      </c>
      <c r="K373" s="1">
        <v>0.0</v>
      </c>
      <c r="L373" s="1">
        <v>-2.0</v>
      </c>
      <c r="M373" s="1">
        <v>1.0</v>
      </c>
      <c r="N373" s="1">
        <v>3.0</v>
      </c>
      <c r="O373" s="1">
        <v>3.0</v>
      </c>
      <c r="P373" s="1">
        <v>1.0</v>
      </c>
      <c r="Q373" s="1" t="s">
        <v>819</v>
      </c>
      <c r="R373" s="1"/>
      <c r="S373" s="1">
        <v>81.0</v>
      </c>
      <c r="T373" s="1" t="s">
        <v>28</v>
      </c>
      <c r="U373" s="7">
        <v>2.0</v>
      </c>
      <c r="V373" s="7">
        <v>6.0</v>
      </c>
      <c r="W373" s="7">
        <v>4.0</v>
      </c>
    </row>
    <row r="374">
      <c r="A374" s="3">
        <v>46236.39405092593</v>
      </c>
      <c r="B374" s="1" t="s">
        <v>820</v>
      </c>
      <c r="C374" s="1" t="s">
        <v>684</v>
      </c>
      <c r="D374" s="1">
        <v>4.0</v>
      </c>
      <c r="E374" s="1" t="s">
        <v>192</v>
      </c>
      <c r="F374" s="4">
        <v>2.0</v>
      </c>
      <c r="G374" s="4">
        <v>2.0</v>
      </c>
      <c r="H374" s="4">
        <v>2.0</v>
      </c>
      <c r="I374" s="4">
        <v>0.0</v>
      </c>
      <c r="J374" s="1">
        <v>4.0</v>
      </c>
      <c r="K374" s="1">
        <v>0.0</v>
      </c>
      <c r="L374" s="1">
        <v>0.0</v>
      </c>
      <c r="M374" s="1">
        <v>2.0</v>
      </c>
      <c r="N374" s="1">
        <v>2.0</v>
      </c>
      <c r="O374" s="1">
        <v>2.0</v>
      </c>
      <c r="P374" s="1">
        <v>2.0</v>
      </c>
      <c r="Q374" s="1"/>
      <c r="R374" s="1"/>
      <c r="S374" s="1">
        <v>28.0</v>
      </c>
      <c r="T374" s="1" t="s">
        <v>28</v>
      </c>
      <c r="U374" s="7">
        <v>4.0</v>
      </c>
      <c r="V374" s="7">
        <v>4.0</v>
      </c>
      <c r="W374" s="7">
        <v>8.0</v>
      </c>
    </row>
    <row r="375">
      <c r="A375" s="3">
        <v>46236.3950462963</v>
      </c>
      <c r="B375" s="1" t="s">
        <v>821</v>
      </c>
      <c r="C375" s="1" t="s">
        <v>634</v>
      </c>
      <c r="D375" s="1">
        <v>4.0</v>
      </c>
      <c r="E375" s="1" t="s">
        <v>192</v>
      </c>
      <c r="F375" s="4">
        <v>1.0</v>
      </c>
      <c r="G375" s="4">
        <v>5.0</v>
      </c>
      <c r="H375" s="4">
        <v>0.0</v>
      </c>
      <c r="I375" s="4">
        <v>0.0</v>
      </c>
      <c r="J375" s="1">
        <v>6.0</v>
      </c>
      <c r="K375" s="1">
        <v>3.0</v>
      </c>
      <c r="L375" s="1">
        <v>0.0</v>
      </c>
      <c r="M375" s="1">
        <v>3.0</v>
      </c>
      <c r="N375" s="1">
        <v>3.0</v>
      </c>
      <c r="O375" s="1">
        <v>3.0</v>
      </c>
      <c r="P375" s="1">
        <v>0.0</v>
      </c>
      <c r="Q375" s="1"/>
      <c r="R375" s="1"/>
      <c r="S375" s="1">
        <v>126.0</v>
      </c>
      <c r="T375" s="1" t="s">
        <v>34</v>
      </c>
      <c r="U375" s="7">
        <v>3.0</v>
      </c>
      <c r="V375" s="7">
        <v>6.0</v>
      </c>
      <c r="W375" s="7">
        <v>5.0</v>
      </c>
    </row>
    <row r="376">
      <c r="A376" s="3">
        <v>46236.406180555554</v>
      </c>
      <c r="B376" s="1" t="s">
        <v>822</v>
      </c>
      <c r="C376" s="1" t="s">
        <v>211</v>
      </c>
      <c r="D376" s="1">
        <v>4.0</v>
      </c>
      <c r="E376" s="1" t="s">
        <v>184</v>
      </c>
      <c r="F376" s="4">
        <v>2.0</v>
      </c>
      <c r="G376" s="4">
        <v>1.0</v>
      </c>
      <c r="H376" s="4">
        <v>3.0</v>
      </c>
      <c r="I376" s="4">
        <v>0.0</v>
      </c>
      <c r="J376" s="1">
        <v>6.0</v>
      </c>
      <c r="K376" s="1">
        <v>0.0</v>
      </c>
      <c r="L376" s="1">
        <v>0.0</v>
      </c>
      <c r="M376" s="1">
        <v>0.0</v>
      </c>
      <c r="N376" s="1">
        <v>4.0</v>
      </c>
      <c r="O376" s="1">
        <v>4.0</v>
      </c>
      <c r="P376" s="1">
        <v>0.0</v>
      </c>
      <c r="Q376" s="1" t="s">
        <v>823</v>
      </c>
      <c r="R376" s="1"/>
      <c r="S376" s="1">
        <v>172.0</v>
      </c>
      <c r="T376" s="1" t="s">
        <v>28</v>
      </c>
      <c r="U376" s="7">
        <v>0.0</v>
      </c>
      <c r="V376" s="7">
        <v>8.0</v>
      </c>
      <c r="W376" s="7">
        <v>0.0</v>
      </c>
    </row>
    <row r="377">
      <c r="A377" s="3">
        <v>46236.41012731481</v>
      </c>
      <c r="B377" s="1" t="s">
        <v>824</v>
      </c>
      <c r="C377" s="1" t="s">
        <v>196</v>
      </c>
      <c r="D377" s="1">
        <v>4.0</v>
      </c>
      <c r="E377" s="1" t="s">
        <v>184</v>
      </c>
      <c r="F377" s="4">
        <v>3.0</v>
      </c>
      <c r="G377" s="4">
        <v>2.0</v>
      </c>
      <c r="H377" s="4">
        <v>1.0</v>
      </c>
      <c r="I377" s="4">
        <v>0.0</v>
      </c>
      <c r="J377" s="1">
        <v>5.0</v>
      </c>
      <c r="K377" s="1">
        <v>0.0</v>
      </c>
      <c r="L377" s="1">
        <v>0.0</v>
      </c>
      <c r="M377" s="1">
        <v>0.0</v>
      </c>
      <c r="N377" s="1">
        <v>4.0</v>
      </c>
      <c r="O377" s="1">
        <v>4.0</v>
      </c>
      <c r="P377" s="1">
        <v>0.0</v>
      </c>
      <c r="Q377" s="1" t="s">
        <v>825</v>
      </c>
      <c r="R377" s="1"/>
      <c r="S377" s="1">
        <v>263.0</v>
      </c>
      <c r="T377" s="1" t="s">
        <v>28</v>
      </c>
      <c r="U377" s="7">
        <v>0.0</v>
      </c>
      <c r="V377" s="7">
        <v>8.0</v>
      </c>
      <c r="W377" s="7">
        <v>0.0</v>
      </c>
    </row>
    <row r="378">
      <c r="A378" s="3">
        <v>46236.41090277778</v>
      </c>
      <c r="B378" s="1" t="s">
        <v>826</v>
      </c>
      <c r="C378" s="1" t="s">
        <v>133</v>
      </c>
      <c r="D378" s="1">
        <v>4.0</v>
      </c>
      <c r="E378" s="1" t="s">
        <v>90</v>
      </c>
      <c r="F378" s="4">
        <v>2.0</v>
      </c>
      <c r="G378" s="4">
        <v>2.0</v>
      </c>
      <c r="H378" s="4">
        <v>2.0</v>
      </c>
      <c r="I378" s="4">
        <v>0.0</v>
      </c>
      <c r="J378" s="1">
        <v>5.0</v>
      </c>
      <c r="K378" s="1">
        <v>0.0</v>
      </c>
      <c r="L378" s="1">
        <v>2.0</v>
      </c>
      <c r="M378" s="1">
        <v>3.0</v>
      </c>
      <c r="N378" s="1">
        <v>3.0</v>
      </c>
      <c r="O378" s="1">
        <v>3.0</v>
      </c>
      <c r="P378" s="1">
        <v>3.0</v>
      </c>
      <c r="Q378" s="1" t="s">
        <v>827</v>
      </c>
      <c r="R378" s="1" t="s">
        <v>293</v>
      </c>
      <c r="S378" s="1">
        <v>2194.0</v>
      </c>
      <c r="T378" s="1" t="s">
        <v>28</v>
      </c>
      <c r="U378" s="7">
        <v>6.0</v>
      </c>
      <c r="V378" s="7">
        <v>6.0</v>
      </c>
      <c r="W378" s="7">
        <v>8.0</v>
      </c>
    </row>
    <row r="379">
      <c r="A379" s="3">
        <v>46236.41508101852</v>
      </c>
      <c r="B379" s="1" t="s">
        <v>828</v>
      </c>
      <c r="C379" s="1" t="s">
        <v>84</v>
      </c>
      <c r="D379" s="1">
        <v>4.0</v>
      </c>
      <c r="E379" s="1" t="s">
        <v>85</v>
      </c>
      <c r="F379" s="4">
        <v>1.0</v>
      </c>
      <c r="G379" s="4">
        <v>2.0</v>
      </c>
      <c r="H379" s="4">
        <v>3.0</v>
      </c>
      <c r="I379" s="4">
        <v>0.0</v>
      </c>
      <c r="J379" s="1">
        <v>6.0</v>
      </c>
      <c r="K379" s="1">
        <v>2.0</v>
      </c>
      <c r="L379" s="1">
        <v>-1.0</v>
      </c>
      <c r="M379" s="1">
        <v>3.0</v>
      </c>
      <c r="N379" s="1">
        <v>3.0</v>
      </c>
      <c r="O379" s="1">
        <v>2.0</v>
      </c>
      <c r="P379" s="1">
        <v>1.0</v>
      </c>
      <c r="Q379" s="1" t="s">
        <v>829</v>
      </c>
      <c r="R379" s="1" t="s">
        <v>830</v>
      </c>
      <c r="S379" s="1">
        <v>835.0</v>
      </c>
      <c r="T379" s="1" t="s">
        <v>28</v>
      </c>
      <c r="U379" s="7">
        <v>4.0</v>
      </c>
      <c r="V379" s="7">
        <v>5.0</v>
      </c>
      <c r="W379" s="7">
        <v>7.0</v>
      </c>
    </row>
    <row r="380">
      <c r="A380" s="3">
        <v>46236.420798611114</v>
      </c>
      <c r="B380" s="1" t="s">
        <v>831</v>
      </c>
      <c r="C380" s="1" t="s">
        <v>249</v>
      </c>
      <c r="D380" s="1">
        <v>4.0</v>
      </c>
      <c r="E380" s="1" t="s">
        <v>184</v>
      </c>
      <c r="F380" s="4">
        <v>0.0</v>
      </c>
      <c r="G380" s="4">
        <v>2.0</v>
      </c>
      <c r="H380" s="4">
        <v>4.0</v>
      </c>
      <c r="I380" s="4">
        <v>0.0</v>
      </c>
      <c r="J380" s="1">
        <v>5.0</v>
      </c>
      <c r="K380" s="1">
        <v>1.0</v>
      </c>
      <c r="L380" s="1">
        <v>0.0</v>
      </c>
      <c r="M380" s="1">
        <v>1.0</v>
      </c>
      <c r="N380" s="1">
        <v>3.0</v>
      </c>
      <c r="O380" s="1">
        <v>3.0</v>
      </c>
      <c r="P380" s="1">
        <v>1.0</v>
      </c>
      <c r="Q380" s="1"/>
      <c r="R380" s="1"/>
      <c r="S380" s="1">
        <v>2678.0</v>
      </c>
      <c r="T380" s="1" t="s">
        <v>28</v>
      </c>
      <c r="U380" s="7">
        <v>2.0</v>
      </c>
      <c r="V380" s="7">
        <v>6.0</v>
      </c>
      <c r="W380" s="7">
        <v>4.0</v>
      </c>
    </row>
    <row r="381">
      <c r="A381" s="3">
        <v>46236.42302083333</v>
      </c>
      <c r="B381" s="1" t="s">
        <v>832</v>
      </c>
      <c r="C381" s="1" t="s">
        <v>48</v>
      </c>
      <c r="D381" s="1">
        <v>4.0</v>
      </c>
      <c r="E381" s="1" t="s">
        <v>49</v>
      </c>
      <c r="F381" s="4">
        <v>2.0</v>
      </c>
      <c r="G381" s="4">
        <v>2.0</v>
      </c>
      <c r="H381" s="4">
        <v>2.0</v>
      </c>
      <c r="I381" s="4">
        <v>0.0</v>
      </c>
      <c r="J381" s="1">
        <v>5.0</v>
      </c>
      <c r="K381" s="1">
        <v>-1.0</v>
      </c>
      <c r="L381" s="1">
        <v>1.0</v>
      </c>
      <c r="M381" s="1">
        <v>2.0</v>
      </c>
      <c r="N381" s="1">
        <v>3.0</v>
      </c>
      <c r="O381" s="1">
        <v>2.0</v>
      </c>
      <c r="P381" s="1">
        <v>2.0</v>
      </c>
      <c r="Q381" s="1"/>
      <c r="R381" s="1"/>
      <c r="S381" s="1">
        <v>61.0</v>
      </c>
      <c r="T381" s="1" t="s">
        <v>28</v>
      </c>
      <c r="U381" s="7">
        <v>4.0</v>
      </c>
      <c r="V381" s="7">
        <v>5.0</v>
      </c>
      <c r="W381" s="7">
        <v>7.0</v>
      </c>
    </row>
    <row r="382">
      <c r="A382" s="3">
        <v>46236.42398148148</v>
      </c>
      <c r="B382" s="1" t="s">
        <v>839</v>
      </c>
      <c r="C382" s="1" t="s">
        <v>179</v>
      </c>
      <c r="D382" s="1">
        <v>4.0</v>
      </c>
      <c r="E382" s="1" t="s">
        <v>49</v>
      </c>
      <c r="F382" s="4">
        <v>1.0</v>
      </c>
      <c r="G382" s="4">
        <v>1.0</v>
      </c>
      <c r="H382" s="4">
        <v>3.0</v>
      </c>
      <c r="I382" s="4">
        <v>1.0</v>
      </c>
      <c r="J382" s="1">
        <v>4.0</v>
      </c>
      <c r="K382" s="1">
        <v>-2.0</v>
      </c>
      <c r="L382" s="1">
        <v>-2.0</v>
      </c>
      <c r="M382" s="1">
        <v>2.0</v>
      </c>
      <c r="N382" s="1">
        <v>3.0</v>
      </c>
      <c r="O382" s="1">
        <v>3.0</v>
      </c>
      <c r="P382" s="1">
        <v>1.0</v>
      </c>
      <c r="Q382" s="1"/>
      <c r="R382" s="1"/>
      <c r="S382" s="1">
        <v>86.0</v>
      </c>
      <c r="T382" s="1" t="s">
        <v>34</v>
      </c>
      <c r="U382" s="7">
        <v>3.0</v>
      </c>
      <c r="V382" s="7">
        <v>6.0</v>
      </c>
      <c r="W382" s="7">
        <v>5.0</v>
      </c>
    </row>
    <row r="383">
      <c r="A383" s="3">
        <v>46236.42712962963</v>
      </c>
      <c r="B383" s="1" t="s">
        <v>842</v>
      </c>
      <c r="C383" s="1" t="s">
        <v>56</v>
      </c>
      <c r="D383" s="1">
        <v>4.0</v>
      </c>
      <c r="E383" s="1" t="s">
        <v>49</v>
      </c>
      <c r="F383" s="4">
        <v>3.0</v>
      </c>
      <c r="G383" s="4">
        <v>1.0</v>
      </c>
      <c r="H383" s="4">
        <v>2.0</v>
      </c>
      <c r="I383" s="4">
        <v>0.0</v>
      </c>
      <c r="J383" s="1">
        <v>4.0</v>
      </c>
      <c r="K383" s="1">
        <v>-2.0</v>
      </c>
      <c r="L383" s="1">
        <v>2.0</v>
      </c>
      <c r="M383" s="1">
        <v>2.0</v>
      </c>
      <c r="N383" s="1">
        <v>2.0</v>
      </c>
      <c r="O383" s="1">
        <v>2.0</v>
      </c>
      <c r="P383" s="1">
        <v>2.0</v>
      </c>
      <c r="Q383" s="1"/>
      <c r="R383" s="1"/>
      <c r="S383" s="1">
        <v>67.0</v>
      </c>
      <c r="T383" s="1" t="s">
        <v>34</v>
      </c>
      <c r="U383" s="7">
        <v>4.0</v>
      </c>
      <c r="V383" s="7">
        <v>4.0</v>
      </c>
      <c r="W383" s="7">
        <v>8.0</v>
      </c>
    </row>
    <row r="384">
      <c r="A384" s="3">
        <v>46236.42827546296</v>
      </c>
      <c r="B384" s="1" t="s">
        <v>843</v>
      </c>
      <c r="C384" s="1" t="s">
        <v>140</v>
      </c>
      <c r="D384" s="1">
        <v>4.0</v>
      </c>
      <c r="E384" s="1" t="s">
        <v>90</v>
      </c>
      <c r="F384" s="4">
        <v>0.0</v>
      </c>
      <c r="G384" s="4">
        <v>0.0</v>
      </c>
      <c r="H384" s="4">
        <v>2.0</v>
      </c>
      <c r="I384" s="4">
        <v>4.0</v>
      </c>
      <c r="J384" s="1">
        <v>4.0</v>
      </c>
      <c r="K384" s="1">
        <v>-1.0</v>
      </c>
      <c r="L384" s="1">
        <v>-3.0</v>
      </c>
      <c r="M384" s="1">
        <v>1.0</v>
      </c>
      <c r="N384" s="1">
        <v>4.0</v>
      </c>
      <c r="O384" s="1">
        <v>1.0</v>
      </c>
      <c r="P384" s="1">
        <v>2.0</v>
      </c>
      <c r="Q384" s="1"/>
      <c r="R384" s="1"/>
      <c r="S384" s="1">
        <v>184.0</v>
      </c>
      <c r="T384" s="1" t="s">
        <v>28</v>
      </c>
      <c r="U384" s="7">
        <v>3.0</v>
      </c>
      <c r="V384" s="7">
        <v>5.0</v>
      </c>
      <c r="W384" s="7">
        <v>6.0</v>
      </c>
    </row>
    <row r="385">
      <c r="A385" s="3">
        <v>46236.43487268518</v>
      </c>
      <c r="B385" s="1" t="s">
        <v>844</v>
      </c>
      <c r="C385" s="1" t="s">
        <v>200</v>
      </c>
      <c r="D385" s="1">
        <v>4.0</v>
      </c>
      <c r="E385" s="1" t="s">
        <v>184</v>
      </c>
      <c r="F385" s="4">
        <v>0.0</v>
      </c>
      <c r="G385" s="4">
        <v>3.0</v>
      </c>
      <c r="H385" s="4">
        <v>3.0</v>
      </c>
      <c r="I385" s="4">
        <v>0.0</v>
      </c>
      <c r="J385" s="1">
        <v>6.0</v>
      </c>
      <c r="K385" s="1">
        <v>1.0</v>
      </c>
      <c r="L385" s="1">
        <v>-2.0</v>
      </c>
      <c r="M385" s="1">
        <v>0.0</v>
      </c>
      <c r="N385" s="1">
        <v>3.0</v>
      </c>
      <c r="O385" s="1">
        <v>3.0</v>
      </c>
      <c r="P385" s="1">
        <v>1.0</v>
      </c>
      <c r="Q385" s="1"/>
      <c r="R385" s="1"/>
      <c r="S385" s="1">
        <v>108.0</v>
      </c>
      <c r="T385" s="1" t="s">
        <v>28</v>
      </c>
      <c r="U385" s="7">
        <v>1.0</v>
      </c>
      <c r="V385" s="7">
        <v>6.0</v>
      </c>
      <c r="W385" s="7">
        <v>3.0</v>
      </c>
    </row>
    <row r="386">
      <c r="A386" s="3">
        <v>46236.43605324074</v>
      </c>
      <c r="B386" s="1" t="s">
        <v>846</v>
      </c>
      <c r="C386" s="1" t="s">
        <v>217</v>
      </c>
      <c r="D386" s="1">
        <v>4.0</v>
      </c>
      <c r="E386" s="1" t="s">
        <v>184</v>
      </c>
      <c r="F386" s="4">
        <v>3.0</v>
      </c>
      <c r="G386" s="4">
        <v>1.0</v>
      </c>
      <c r="H386" s="4">
        <v>2.0</v>
      </c>
      <c r="I386" s="4">
        <v>0.0</v>
      </c>
      <c r="J386" s="1">
        <v>6.0</v>
      </c>
      <c r="K386" s="1">
        <v>2.0</v>
      </c>
      <c r="L386" s="1">
        <v>2.0</v>
      </c>
      <c r="M386" s="1">
        <v>1.0</v>
      </c>
      <c r="N386" s="1">
        <v>3.0</v>
      </c>
      <c r="O386" s="1">
        <v>2.0</v>
      </c>
      <c r="P386" s="1">
        <v>2.0</v>
      </c>
      <c r="Q386" s="1" t="s">
        <v>847</v>
      </c>
      <c r="R386" s="1"/>
      <c r="S386" s="1">
        <v>119.0</v>
      </c>
      <c r="T386" s="1" t="s">
        <v>28</v>
      </c>
      <c r="U386" s="7">
        <v>3.0</v>
      </c>
      <c r="V386" s="7">
        <v>5.0</v>
      </c>
      <c r="W386" s="7">
        <v>6.0</v>
      </c>
    </row>
    <row r="387">
      <c r="A387" s="3">
        <v>46236.447604166664</v>
      </c>
      <c r="B387" s="1" t="s">
        <v>848</v>
      </c>
      <c r="C387" s="1" t="s">
        <v>66</v>
      </c>
      <c r="D387" s="1">
        <v>4.0</v>
      </c>
      <c r="E387" s="1" t="s">
        <v>49</v>
      </c>
      <c r="F387" s="4">
        <v>2.0</v>
      </c>
      <c r="G387" s="4">
        <v>0.0</v>
      </c>
      <c r="H387" s="4">
        <v>2.0</v>
      </c>
      <c r="I387" s="4">
        <v>2.0</v>
      </c>
      <c r="J387" s="1">
        <v>2.0</v>
      </c>
      <c r="K387" s="1">
        <v>-2.0</v>
      </c>
      <c r="L387" s="1">
        <v>1.0</v>
      </c>
      <c r="M387" s="1">
        <v>2.0</v>
      </c>
      <c r="N387" s="1">
        <v>3.0</v>
      </c>
      <c r="O387" s="1">
        <v>2.0</v>
      </c>
      <c r="P387" s="1">
        <v>1.0</v>
      </c>
      <c r="Q387" s="1"/>
      <c r="R387" s="1"/>
      <c r="S387" s="1">
        <v>83.0</v>
      </c>
      <c r="T387" s="1" t="s">
        <v>28</v>
      </c>
      <c r="U387" s="7">
        <v>3.0</v>
      </c>
      <c r="V387" s="7">
        <v>5.0</v>
      </c>
      <c r="W387" s="7">
        <v>6.0</v>
      </c>
    </row>
    <row r="388">
      <c r="A388" s="3">
        <v>46236.448159722226</v>
      </c>
      <c r="B388" s="1" t="s">
        <v>849</v>
      </c>
      <c r="C388" s="1" t="s">
        <v>271</v>
      </c>
      <c r="D388" s="1">
        <v>4.0</v>
      </c>
      <c r="E388" s="1" t="s">
        <v>192</v>
      </c>
      <c r="F388" s="4">
        <v>2.0</v>
      </c>
      <c r="G388" s="4">
        <v>2.0</v>
      </c>
      <c r="H388" s="4">
        <v>2.0</v>
      </c>
      <c r="I388" s="4">
        <v>0.0</v>
      </c>
      <c r="J388" s="1">
        <v>5.0</v>
      </c>
      <c r="K388" s="1">
        <v>1.0</v>
      </c>
      <c r="L388" s="1">
        <v>-2.0</v>
      </c>
      <c r="M388" s="1">
        <v>1.0</v>
      </c>
      <c r="N388" s="1">
        <v>3.0</v>
      </c>
      <c r="O388" s="1">
        <v>3.0</v>
      </c>
      <c r="P388" s="1">
        <v>1.0</v>
      </c>
      <c r="Q388" s="1"/>
      <c r="R388" s="1"/>
      <c r="S388" s="1">
        <v>48.0</v>
      </c>
      <c r="T388" s="1" t="s">
        <v>28</v>
      </c>
      <c r="U388" s="7">
        <v>2.0</v>
      </c>
      <c r="V388" s="7">
        <v>6.0</v>
      </c>
      <c r="W388" s="7">
        <v>4.0</v>
      </c>
    </row>
    <row r="389">
      <c r="A389" s="3">
        <v>46236.45282407408</v>
      </c>
      <c r="B389" s="1" t="s">
        <v>850</v>
      </c>
      <c r="C389" s="1" t="s">
        <v>423</v>
      </c>
      <c r="D389" s="1">
        <v>4.0</v>
      </c>
      <c r="E389" s="1" t="s">
        <v>49</v>
      </c>
      <c r="F389" s="4">
        <v>3.0</v>
      </c>
      <c r="G389" s="4">
        <v>1.0</v>
      </c>
      <c r="H389" s="4">
        <v>2.0</v>
      </c>
      <c r="I389" s="4">
        <v>0.0</v>
      </c>
      <c r="J389" s="1">
        <v>6.0</v>
      </c>
      <c r="K389" s="1">
        <v>2.0</v>
      </c>
      <c r="L389" s="1">
        <v>1.0</v>
      </c>
      <c r="M389" s="1">
        <v>2.0</v>
      </c>
      <c r="N389" s="1">
        <v>3.0</v>
      </c>
      <c r="O389" s="1">
        <v>2.0</v>
      </c>
      <c r="P389" s="1">
        <v>1.0</v>
      </c>
      <c r="Q389" s="1" t="s">
        <v>851</v>
      </c>
      <c r="R389" s="1" t="s">
        <v>852</v>
      </c>
      <c r="S389" s="1">
        <v>296.0</v>
      </c>
      <c r="T389" s="1" t="s">
        <v>28</v>
      </c>
      <c r="U389" s="7">
        <v>3.0</v>
      </c>
      <c r="V389" s="7">
        <v>5.0</v>
      </c>
      <c r="W389" s="7">
        <v>6.0</v>
      </c>
    </row>
    <row r="390">
      <c r="A390" s="3">
        <v>46236.45664351852</v>
      </c>
      <c r="B390" s="1" t="s">
        <v>853</v>
      </c>
      <c r="C390" s="1" t="s">
        <v>62</v>
      </c>
      <c r="D390" s="1">
        <v>4.0</v>
      </c>
      <c r="E390" s="1" t="s">
        <v>52</v>
      </c>
      <c r="F390" s="4">
        <v>4.0</v>
      </c>
      <c r="G390" s="4">
        <v>2.0</v>
      </c>
      <c r="H390" s="4">
        <v>0.0</v>
      </c>
      <c r="I390" s="4">
        <v>0.0</v>
      </c>
      <c r="J390" s="1">
        <v>7.0</v>
      </c>
      <c r="K390" s="1">
        <v>3.0</v>
      </c>
      <c r="L390" s="1">
        <v>-1.0</v>
      </c>
      <c r="M390" s="1">
        <v>1.0</v>
      </c>
      <c r="N390" s="1">
        <v>3.0</v>
      </c>
      <c r="O390" s="1">
        <v>4.0</v>
      </c>
      <c r="P390" s="1">
        <v>0.0</v>
      </c>
      <c r="Q390" s="1" t="s">
        <v>854</v>
      </c>
      <c r="R390" s="1"/>
      <c r="S390" s="1">
        <v>202.0</v>
      </c>
      <c r="T390" s="1" t="s">
        <v>28</v>
      </c>
      <c r="U390" s="7">
        <v>1.0</v>
      </c>
      <c r="V390" s="7">
        <v>7.0</v>
      </c>
      <c r="W390" s="7">
        <v>2.0</v>
      </c>
    </row>
    <row r="391">
      <c r="A391" s="3">
        <v>46236.46659722222</v>
      </c>
      <c r="B391" s="1" t="s">
        <v>855</v>
      </c>
      <c r="C391" s="1" t="s">
        <v>365</v>
      </c>
      <c r="D391" s="1">
        <v>4.0</v>
      </c>
      <c r="E391" s="1" t="s">
        <v>184</v>
      </c>
      <c r="F391" s="4">
        <v>4.0</v>
      </c>
      <c r="G391" s="4">
        <v>0.0</v>
      </c>
      <c r="H391" s="4">
        <v>2.0</v>
      </c>
      <c r="I391" s="4">
        <v>0.0</v>
      </c>
      <c r="J391" s="1">
        <v>4.0</v>
      </c>
      <c r="K391" s="1">
        <v>-2.0</v>
      </c>
      <c r="L391" s="1">
        <v>2.0</v>
      </c>
      <c r="M391" s="1">
        <v>2.0</v>
      </c>
      <c r="N391" s="1">
        <v>2.0</v>
      </c>
      <c r="O391" s="1">
        <v>2.0</v>
      </c>
      <c r="P391" s="1">
        <v>2.0</v>
      </c>
      <c r="Q391" s="1"/>
      <c r="R391" s="1"/>
      <c r="S391" s="1">
        <v>43.0</v>
      </c>
      <c r="T391" s="1" t="s">
        <v>28</v>
      </c>
      <c r="U391" s="7">
        <v>4.0</v>
      </c>
      <c r="V391" s="7">
        <v>4.0</v>
      </c>
      <c r="W391" s="7">
        <v>8.0</v>
      </c>
    </row>
    <row r="392">
      <c r="A392" s="3">
        <v>46236.47628472222</v>
      </c>
      <c r="B392" s="1" t="s">
        <v>856</v>
      </c>
      <c r="C392" s="1" t="s">
        <v>356</v>
      </c>
      <c r="D392" s="1">
        <v>4.0</v>
      </c>
      <c r="E392" s="1" t="s">
        <v>184</v>
      </c>
      <c r="F392" s="4">
        <v>1.0</v>
      </c>
      <c r="G392" s="4">
        <v>3.0</v>
      </c>
      <c r="H392" s="4">
        <v>1.0</v>
      </c>
      <c r="I392" s="4">
        <v>1.0</v>
      </c>
      <c r="J392" s="1">
        <v>4.0</v>
      </c>
      <c r="K392" s="1">
        <v>0.0</v>
      </c>
      <c r="L392" s="1">
        <v>-1.0</v>
      </c>
      <c r="M392" s="1">
        <v>1.0</v>
      </c>
      <c r="N392" s="1">
        <v>3.0</v>
      </c>
      <c r="O392" s="1">
        <v>2.0</v>
      </c>
      <c r="P392" s="1">
        <v>2.0</v>
      </c>
      <c r="Q392" s="1" t="s">
        <v>857</v>
      </c>
      <c r="R392" s="1"/>
      <c r="S392" s="1">
        <v>174.0</v>
      </c>
      <c r="T392" s="1" t="s">
        <v>34</v>
      </c>
      <c r="U392" s="7">
        <v>3.0</v>
      </c>
      <c r="V392" s="7">
        <v>5.0</v>
      </c>
      <c r="W392" s="7">
        <v>6.0</v>
      </c>
    </row>
    <row r="393">
      <c r="A393" s="3">
        <v>46236.4969212963</v>
      </c>
      <c r="B393" s="1" t="s">
        <v>858</v>
      </c>
      <c r="C393" s="1" t="s">
        <v>286</v>
      </c>
      <c r="D393" s="1">
        <v>4.0</v>
      </c>
      <c r="E393" s="1" t="s">
        <v>184</v>
      </c>
      <c r="F393" s="4">
        <v>3.0</v>
      </c>
      <c r="G393" s="4">
        <v>2.0</v>
      </c>
      <c r="H393" s="4">
        <v>1.0</v>
      </c>
      <c r="I393" s="4">
        <v>0.0</v>
      </c>
      <c r="J393" s="1">
        <v>2.0</v>
      </c>
      <c r="K393" s="1">
        <v>-3.0</v>
      </c>
      <c r="L393" s="1">
        <v>-2.0</v>
      </c>
      <c r="M393" s="1">
        <v>3.0</v>
      </c>
      <c r="N393" s="1">
        <v>2.0</v>
      </c>
      <c r="O393" s="1">
        <v>1.0</v>
      </c>
      <c r="P393" s="1">
        <v>2.0</v>
      </c>
      <c r="Q393" s="1" t="s">
        <v>859</v>
      </c>
      <c r="R393" s="1"/>
      <c r="S393" s="1">
        <v>66.0</v>
      </c>
      <c r="T393" s="1" t="s">
        <v>34</v>
      </c>
      <c r="U393" s="7">
        <v>5.0</v>
      </c>
      <c r="V393" s="7">
        <v>3.0</v>
      </c>
      <c r="W393" s="7">
        <v>10.0</v>
      </c>
    </row>
    <row r="394">
      <c r="A394" s="3">
        <v>46236.50480324074</v>
      </c>
      <c r="B394" s="1" t="s">
        <v>860</v>
      </c>
      <c r="C394" s="1" t="s">
        <v>237</v>
      </c>
      <c r="D394" s="1">
        <v>4.0</v>
      </c>
      <c r="E394" s="1" t="s">
        <v>184</v>
      </c>
      <c r="F394" s="4">
        <v>1.0</v>
      </c>
      <c r="G394" s="4">
        <v>2.0</v>
      </c>
      <c r="H394" s="4">
        <v>3.0</v>
      </c>
      <c r="I394" s="4">
        <v>0.0</v>
      </c>
      <c r="J394" s="1">
        <v>6.0</v>
      </c>
      <c r="K394" s="1">
        <v>2.0</v>
      </c>
      <c r="L394" s="1">
        <v>-1.0</v>
      </c>
      <c r="M394" s="1">
        <v>1.0</v>
      </c>
      <c r="N394" s="1">
        <v>3.0</v>
      </c>
      <c r="O394" s="1">
        <v>3.0</v>
      </c>
      <c r="P394" s="1">
        <v>1.0</v>
      </c>
      <c r="Q394" s="1" t="s">
        <v>861</v>
      </c>
      <c r="R394" s="1"/>
      <c r="S394" s="1">
        <v>177.0</v>
      </c>
      <c r="T394" s="1" t="s">
        <v>28</v>
      </c>
      <c r="U394" s="7">
        <v>2.0</v>
      </c>
      <c r="V394" s="7">
        <v>6.0</v>
      </c>
      <c r="W394" s="7">
        <v>4.0</v>
      </c>
    </row>
    <row r="395">
      <c r="A395" s="3">
        <v>46236.50898148148</v>
      </c>
      <c r="B395" s="1" t="s">
        <v>862</v>
      </c>
      <c r="C395" s="1" t="s">
        <v>526</v>
      </c>
      <c r="D395" s="1">
        <v>4.0</v>
      </c>
      <c r="E395" s="1" t="s">
        <v>184</v>
      </c>
      <c r="F395" s="4">
        <v>3.0</v>
      </c>
      <c r="G395" s="4">
        <v>2.0</v>
      </c>
      <c r="H395" s="4">
        <v>1.0</v>
      </c>
      <c r="I395" s="4">
        <v>0.0</v>
      </c>
      <c r="J395" s="1">
        <v>4.0</v>
      </c>
      <c r="K395" s="1">
        <v>0.0</v>
      </c>
      <c r="L395" s="1">
        <v>1.0</v>
      </c>
      <c r="M395" s="1">
        <v>2.0</v>
      </c>
      <c r="N395" s="1">
        <v>3.0</v>
      </c>
      <c r="O395" s="1">
        <v>2.0</v>
      </c>
      <c r="P395" s="1">
        <v>1.0</v>
      </c>
      <c r="Q395" s="1"/>
      <c r="R395" s="1"/>
      <c r="S395" s="1">
        <v>42.0</v>
      </c>
      <c r="T395" s="1" t="s">
        <v>34</v>
      </c>
      <c r="U395" s="7">
        <v>3.0</v>
      </c>
      <c r="V395" s="7">
        <v>5.0</v>
      </c>
      <c r="W395" s="7">
        <v>6.0</v>
      </c>
    </row>
    <row r="396">
      <c r="A396" s="3">
        <v>46236.52609953703</v>
      </c>
      <c r="B396" s="1" t="s">
        <v>863</v>
      </c>
      <c r="C396" s="1" t="s">
        <v>152</v>
      </c>
      <c r="D396" s="1">
        <v>4.0</v>
      </c>
      <c r="E396" s="1" t="s">
        <v>31</v>
      </c>
      <c r="F396" s="4">
        <v>1.0</v>
      </c>
      <c r="G396" s="4">
        <v>2.0</v>
      </c>
      <c r="H396" s="4">
        <v>3.0</v>
      </c>
      <c r="I396" s="4">
        <v>0.0</v>
      </c>
      <c r="J396" s="1">
        <v>5.0</v>
      </c>
      <c r="K396" s="1">
        <v>1.0</v>
      </c>
      <c r="L396" s="1">
        <v>2.0</v>
      </c>
      <c r="M396" s="1">
        <v>2.0</v>
      </c>
      <c r="N396" s="1">
        <v>3.0</v>
      </c>
      <c r="O396" s="1">
        <v>3.0</v>
      </c>
      <c r="P396" s="1">
        <v>2.0</v>
      </c>
      <c r="Q396" s="1"/>
      <c r="R396" s="1"/>
      <c r="S396" s="1">
        <v>49.0</v>
      </c>
      <c r="T396" s="1" t="s">
        <v>28</v>
      </c>
      <c r="U396" s="7">
        <v>4.0</v>
      </c>
      <c r="V396" s="7">
        <v>6.0</v>
      </c>
      <c r="W396" s="7">
        <v>6.0</v>
      </c>
    </row>
    <row r="397">
      <c r="A397" s="3">
        <v>46236.54106481482</v>
      </c>
      <c r="B397" s="1" t="s">
        <v>864</v>
      </c>
      <c r="C397" s="1" t="s">
        <v>111</v>
      </c>
      <c r="D397" s="1">
        <v>4.0</v>
      </c>
      <c r="E397" s="1" t="s">
        <v>184</v>
      </c>
      <c r="F397" s="4">
        <v>3.0</v>
      </c>
      <c r="G397" s="4">
        <v>0.0</v>
      </c>
      <c r="H397" s="4">
        <v>3.0</v>
      </c>
      <c r="I397" s="4">
        <v>0.0</v>
      </c>
      <c r="J397" s="1">
        <v>1.0</v>
      </c>
      <c r="K397" s="1">
        <v>-3.0</v>
      </c>
      <c r="L397" s="1">
        <v>-3.0</v>
      </c>
      <c r="M397" s="1">
        <v>4.0</v>
      </c>
      <c r="N397" s="1">
        <v>4.0</v>
      </c>
      <c r="O397" s="1">
        <v>1.0</v>
      </c>
      <c r="P397" s="1">
        <v>4.0</v>
      </c>
      <c r="Q397" s="1"/>
      <c r="R397" s="1" t="s">
        <v>866</v>
      </c>
      <c r="S397" s="1">
        <v>115.0</v>
      </c>
      <c r="T397" s="1" t="s">
        <v>28</v>
      </c>
      <c r="U397" s="7">
        <v>8.0</v>
      </c>
      <c r="V397" s="7">
        <v>5.0</v>
      </c>
      <c r="W397" s="7">
        <v>11.0</v>
      </c>
    </row>
    <row r="398">
      <c r="A398" s="3">
        <v>46236.55934027778</v>
      </c>
      <c r="B398" s="1" t="s">
        <v>867</v>
      </c>
      <c r="C398" s="1" t="s">
        <v>596</v>
      </c>
      <c r="D398" s="1">
        <v>4.0</v>
      </c>
      <c r="E398" s="1" t="s">
        <v>49</v>
      </c>
      <c r="F398" s="4">
        <v>4.0</v>
      </c>
      <c r="G398" s="4">
        <v>1.0</v>
      </c>
      <c r="H398" s="4">
        <v>1.0</v>
      </c>
      <c r="I398" s="4">
        <v>0.0</v>
      </c>
      <c r="J398" s="1">
        <v>2.0</v>
      </c>
      <c r="K398" s="1">
        <v>-2.0</v>
      </c>
      <c r="L398" s="1">
        <v>2.0</v>
      </c>
      <c r="M398" s="1">
        <v>2.0</v>
      </c>
      <c r="N398" s="1">
        <v>2.0</v>
      </c>
      <c r="O398" s="1">
        <v>1.0</v>
      </c>
      <c r="P398" s="1">
        <v>2.0</v>
      </c>
      <c r="Q398" s="1"/>
      <c r="R398" s="1"/>
      <c r="S398" s="1">
        <v>44.0</v>
      </c>
      <c r="T398" s="1" t="s">
        <v>34</v>
      </c>
      <c r="U398" s="7">
        <v>4.0</v>
      </c>
      <c r="V398" s="7">
        <v>3.0</v>
      </c>
      <c r="W398" s="7">
        <v>9.0</v>
      </c>
    </row>
    <row r="399">
      <c r="A399" s="3">
        <v>46236.56164351852</v>
      </c>
      <c r="B399" s="1" t="s">
        <v>868</v>
      </c>
      <c r="C399" s="1" t="s">
        <v>194</v>
      </c>
      <c r="D399" s="1">
        <v>4.0</v>
      </c>
      <c r="E399" s="1" t="s">
        <v>184</v>
      </c>
      <c r="F399" s="4">
        <v>2.0</v>
      </c>
      <c r="G399" s="4">
        <v>1.0</v>
      </c>
      <c r="H399" s="4">
        <v>3.0</v>
      </c>
      <c r="I399" s="4">
        <v>0.0</v>
      </c>
      <c r="J399" s="1">
        <v>4.0</v>
      </c>
      <c r="K399" s="1">
        <v>0.0</v>
      </c>
      <c r="L399" s="1">
        <v>0.0</v>
      </c>
      <c r="M399" s="1">
        <v>2.0</v>
      </c>
      <c r="N399" s="1">
        <v>2.0</v>
      </c>
      <c r="O399" s="1">
        <v>2.0</v>
      </c>
      <c r="P399" s="1">
        <v>2.0</v>
      </c>
      <c r="Q399" s="1"/>
      <c r="R399" s="1"/>
      <c r="S399" s="1">
        <v>21.0</v>
      </c>
      <c r="T399" s="1" t="s">
        <v>28</v>
      </c>
      <c r="U399" s="7">
        <v>4.0</v>
      </c>
      <c r="V399" s="7">
        <v>4.0</v>
      </c>
      <c r="W399" s="7">
        <v>8.0</v>
      </c>
    </row>
    <row r="400">
      <c r="A400" s="3">
        <v>46236.583136574074</v>
      </c>
      <c r="B400" s="1" t="s">
        <v>869</v>
      </c>
      <c r="C400" s="1" t="s">
        <v>393</v>
      </c>
      <c r="D400" s="1">
        <v>4.0</v>
      </c>
      <c r="E400" s="1" t="s">
        <v>102</v>
      </c>
      <c r="F400" s="4">
        <v>1.0</v>
      </c>
      <c r="G400" s="4">
        <v>2.0</v>
      </c>
      <c r="H400" s="4">
        <v>3.0</v>
      </c>
      <c r="I400" s="4">
        <v>0.0</v>
      </c>
      <c r="J400" s="1">
        <v>7.0</v>
      </c>
      <c r="K400" s="1">
        <v>3.0</v>
      </c>
      <c r="L400" s="1">
        <v>-1.0</v>
      </c>
      <c r="M400" s="1">
        <v>1.0</v>
      </c>
      <c r="N400" s="1">
        <v>4.0</v>
      </c>
      <c r="O400" s="1">
        <v>4.0</v>
      </c>
      <c r="P400" s="1">
        <v>1.0</v>
      </c>
      <c r="Q400" s="1" t="s">
        <v>870</v>
      </c>
      <c r="R400" s="1"/>
      <c r="S400" s="1">
        <v>477.0</v>
      </c>
      <c r="T400" s="1" t="s">
        <v>28</v>
      </c>
      <c r="U400" s="7">
        <v>2.0</v>
      </c>
      <c r="V400" s="7">
        <v>8.0</v>
      </c>
      <c r="W400" s="7">
        <v>2.0</v>
      </c>
    </row>
    <row r="401">
      <c r="A401" s="3">
        <v>46236.60569444444</v>
      </c>
      <c r="B401" s="1" t="s">
        <v>871</v>
      </c>
      <c r="C401" s="1" t="s">
        <v>295</v>
      </c>
      <c r="D401" s="1">
        <v>4.0</v>
      </c>
      <c r="E401" s="1" t="s">
        <v>192</v>
      </c>
      <c r="F401" s="4">
        <v>1.0</v>
      </c>
      <c r="G401" s="4">
        <v>4.0</v>
      </c>
      <c r="H401" s="4">
        <v>1.0</v>
      </c>
      <c r="I401" s="4">
        <v>0.0</v>
      </c>
      <c r="J401" s="1">
        <v>6.0</v>
      </c>
      <c r="K401" s="1">
        <v>2.0</v>
      </c>
      <c r="L401" s="1">
        <v>1.0</v>
      </c>
      <c r="M401" s="1">
        <v>0.0</v>
      </c>
      <c r="N401" s="1">
        <v>3.0</v>
      </c>
      <c r="O401" s="1">
        <v>2.0</v>
      </c>
      <c r="P401" s="1">
        <v>1.0</v>
      </c>
      <c r="Q401" s="1"/>
      <c r="R401" s="1"/>
      <c r="S401" s="1">
        <v>135.0</v>
      </c>
      <c r="T401" s="1" t="s">
        <v>34</v>
      </c>
      <c r="U401" s="7">
        <v>1.0</v>
      </c>
      <c r="V401" s="7">
        <v>5.0</v>
      </c>
      <c r="W401" s="7">
        <v>4.0</v>
      </c>
    </row>
    <row r="402">
      <c r="A402" s="3">
        <v>46236.62304398148</v>
      </c>
      <c r="B402" s="1" t="s">
        <v>872</v>
      </c>
      <c r="C402" s="1" t="s">
        <v>59</v>
      </c>
      <c r="D402" s="1">
        <v>4.0</v>
      </c>
      <c r="E402" s="1" t="s">
        <v>52</v>
      </c>
      <c r="F402" s="4">
        <v>1.0</v>
      </c>
      <c r="G402" s="4">
        <v>2.0</v>
      </c>
      <c r="H402" s="4">
        <v>3.0</v>
      </c>
      <c r="I402" s="4">
        <v>0.0</v>
      </c>
      <c r="J402" s="1">
        <v>5.0</v>
      </c>
      <c r="K402" s="1">
        <v>1.0</v>
      </c>
      <c r="L402" s="1">
        <v>-2.0</v>
      </c>
      <c r="M402" s="1">
        <v>1.0</v>
      </c>
      <c r="N402" s="1">
        <v>3.0</v>
      </c>
      <c r="O402" s="1">
        <v>3.0</v>
      </c>
      <c r="P402" s="1">
        <v>1.0</v>
      </c>
      <c r="Q402" s="1" t="s">
        <v>873</v>
      </c>
      <c r="R402" s="1" t="s">
        <v>874</v>
      </c>
      <c r="S402" s="1">
        <v>114.0</v>
      </c>
      <c r="T402" s="1" t="s">
        <v>34</v>
      </c>
      <c r="U402" s="7">
        <v>2.0</v>
      </c>
      <c r="V402" s="7">
        <v>6.0</v>
      </c>
      <c r="W402" s="7">
        <v>4.0</v>
      </c>
    </row>
    <row r="403">
      <c r="A403" s="3">
        <v>46236.710497685184</v>
      </c>
      <c r="B403" s="1" t="s">
        <v>875</v>
      </c>
      <c r="C403" s="1" t="s">
        <v>254</v>
      </c>
      <c r="D403" s="1">
        <v>4.0</v>
      </c>
      <c r="E403" s="1" t="s">
        <v>192</v>
      </c>
      <c r="F403" s="4">
        <v>3.0</v>
      </c>
      <c r="G403" s="4">
        <v>2.0</v>
      </c>
      <c r="H403" s="4">
        <v>1.0</v>
      </c>
      <c r="I403" s="4">
        <v>0.0</v>
      </c>
      <c r="J403" s="1">
        <v>4.0</v>
      </c>
      <c r="K403" s="1">
        <v>1.0</v>
      </c>
      <c r="L403" s="1">
        <v>-1.0</v>
      </c>
      <c r="M403" s="1">
        <v>3.0</v>
      </c>
      <c r="N403" s="1">
        <v>2.0</v>
      </c>
      <c r="O403" s="1">
        <v>2.0</v>
      </c>
      <c r="P403" s="1">
        <v>3.0</v>
      </c>
      <c r="Q403" s="1"/>
      <c r="R403" s="1"/>
      <c r="S403" s="1">
        <v>62.0</v>
      </c>
      <c r="T403" s="1" t="s">
        <v>28</v>
      </c>
      <c r="U403" s="7">
        <v>6.0</v>
      </c>
      <c r="V403" s="7">
        <v>4.0</v>
      </c>
      <c r="W403" s="7">
        <v>10.0</v>
      </c>
    </row>
    <row r="404">
      <c r="A404" s="3">
        <v>46236.79153935185</v>
      </c>
      <c r="B404" s="1" t="s">
        <v>876</v>
      </c>
      <c r="C404" s="1" t="s">
        <v>206</v>
      </c>
      <c r="D404" s="1">
        <v>4.0</v>
      </c>
      <c r="E404" s="1" t="s">
        <v>192</v>
      </c>
      <c r="F404" s="4">
        <v>6.0</v>
      </c>
      <c r="G404" s="4">
        <v>0.0</v>
      </c>
      <c r="H404" s="4">
        <v>0.0</v>
      </c>
      <c r="I404" s="4">
        <v>0.0</v>
      </c>
      <c r="J404" s="1">
        <v>1.0</v>
      </c>
      <c r="K404" s="1">
        <v>0.0</v>
      </c>
      <c r="L404" s="1">
        <v>1.0</v>
      </c>
      <c r="M404" s="1">
        <v>3.0</v>
      </c>
      <c r="N404" s="1">
        <v>1.0</v>
      </c>
      <c r="O404" s="1">
        <v>0.0</v>
      </c>
      <c r="P404" s="1">
        <v>3.0</v>
      </c>
      <c r="Q404" s="1"/>
      <c r="R404" s="1"/>
      <c r="S404" s="1">
        <v>46.0</v>
      </c>
      <c r="T404" s="1" t="s">
        <v>28</v>
      </c>
      <c r="U404" s="7">
        <v>6.0</v>
      </c>
      <c r="V404" s="7">
        <v>1.0</v>
      </c>
      <c r="W404" s="7">
        <v>13.0</v>
      </c>
    </row>
    <row r="405">
      <c r="A405" s="3">
        <v>46236.82377314815</v>
      </c>
      <c r="B405" s="1" t="s">
        <v>877</v>
      </c>
      <c r="C405" s="1" t="s">
        <v>446</v>
      </c>
      <c r="D405" s="1">
        <v>4.0</v>
      </c>
      <c r="E405" s="1" t="s">
        <v>26</v>
      </c>
      <c r="F405" s="4">
        <v>2.0</v>
      </c>
      <c r="G405" s="4">
        <v>1.0</v>
      </c>
      <c r="H405" s="4">
        <v>3.0</v>
      </c>
      <c r="I405" s="4">
        <v>0.0</v>
      </c>
      <c r="J405" s="1">
        <v>5.0</v>
      </c>
      <c r="K405" s="1">
        <v>1.0</v>
      </c>
      <c r="L405" s="1">
        <v>1.0</v>
      </c>
      <c r="M405" s="1">
        <v>2.0</v>
      </c>
      <c r="N405" s="1">
        <v>3.0</v>
      </c>
      <c r="O405" s="1">
        <v>3.0</v>
      </c>
      <c r="P405" s="1">
        <v>2.0</v>
      </c>
      <c r="Q405" s="1"/>
      <c r="R405" s="1"/>
      <c r="S405" s="1">
        <v>94.0</v>
      </c>
      <c r="T405" s="1" t="s">
        <v>34</v>
      </c>
      <c r="U405" s="7">
        <v>4.0</v>
      </c>
      <c r="V405" s="7">
        <v>6.0</v>
      </c>
      <c r="W405" s="7">
        <v>6.0</v>
      </c>
    </row>
    <row r="406">
      <c r="A406" s="3">
        <v>46236.855717592596</v>
      </c>
      <c r="B406" s="1" t="s">
        <v>878</v>
      </c>
      <c r="C406" s="1" t="s">
        <v>419</v>
      </c>
      <c r="D406" s="1">
        <v>4.0</v>
      </c>
      <c r="E406" s="1" t="s">
        <v>184</v>
      </c>
      <c r="F406" s="4">
        <v>2.0</v>
      </c>
      <c r="G406" s="4">
        <v>3.0</v>
      </c>
      <c r="H406" s="4">
        <v>1.0</v>
      </c>
      <c r="I406" s="4">
        <v>0.0</v>
      </c>
      <c r="J406" s="1">
        <v>6.0</v>
      </c>
      <c r="K406" s="1">
        <v>1.0</v>
      </c>
      <c r="L406" s="1">
        <v>-1.0</v>
      </c>
      <c r="M406" s="1">
        <v>2.0</v>
      </c>
      <c r="N406" s="1">
        <v>3.0</v>
      </c>
      <c r="O406" s="1">
        <v>1.0</v>
      </c>
      <c r="P406" s="1">
        <v>2.0</v>
      </c>
      <c r="Q406" s="1" t="s">
        <v>879</v>
      </c>
      <c r="R406" s="1" t="s">
        <v>880</v>
      </c>
      <c r="S406" s="1">
        <v>494.0</v>
      </c>
      <c r="T406" s="1" t="s">
        <v>34</v>
      </c>
      <c r="U406" s="7">
        <v>4.0</v>
      </c>
      <c r="V406" s="7">
        <v>4.0</v>
      </c>
      <c r="W406" s="7">
        <v>8.0</v>
      </c>
    </row>
    <row r="407">
      <c r="A407" s="3">
        <v>46236.881053240744</v>
      </c>
      <c r="B407" s="1" t="s">
        <v>881</v>
      </c>
      <c r="C407" s="1" t="s">
        <v>557</v>
      </c>
      <c r="D407" s="1">
        <v>4.0</v>
      </c>
      <c r="E407" s="1" t="s">
        <v>192</v>
      </c>
      <c r="F407" s="4">
        <v>3.0</v>
      </c>
      <c r="G407" s="4">
        <v>1.0</v>
      </c>
      <c r="H407" s="4">
        <v>2.0</v>
      </c>
      <c r="I407" s="4">
        <v>0.0</v>
      </c>
      <c r="J407" s="1">
        <v>7.0</v>
      </c>
      <c r="K407" s="1">
        <v>1.0</v>
      </c>
      <c r="L407" s="1">
        <v>-1.0</v>
      </c>
      <c r="M407" s="1">
        <v>2.0</v>
      </c>
      <c r="N407" s="1">
        <v>1.0</v>
      </c>
      <c r="O407" s="1">
        <v>2.0</v>
      </c>
      <c r="P407" s="1">
        <v>2.0</v>
      </c>
      <c r="Q407" s="1"/>
      <c r="R407" s="1"/>
      <c r="S407" s="1">
        <v>76.0</v>
      </c>
      <c r="T407" s="1" t="s">
        <v>34</v>
      </c>
      <c r="U407" s="7">
        <v>4.0</v>
      </c>
      <c r="V407" s="7">
        <v>3.0</v>
      </c>
      <c r="W407" s="7">
        <v>9.0</v>
      </c>
    </row>
    <row r="408">
      <c r="A408" s="3">
        <v>46236.899733796294</v>
      </c>
      <c r="B408" s="1" t="s">
        <v>882</v>
      </c>
      <c r="C408" s="1" t="s">
        <v>101</v>
      </c>
      <c r="D408" s="1">
        <v>4.0</v>
      </c>
      <c r="E408" s="1" t="s">
        <v>45</v>
      </c>
      <c r="F408" s="4">
        <v>3.0</v>
      </c>
      <c r="G408" s="4">
        <v>2.0</v>
      </c>
      <c r="H408" s="4">
        <v>1.0</v>
      </c>
      <c r="I408" s="4">
        <v>0.0</v>
      </c>
      <c r="J408" s="1">
        <v>5.0</v>
      </c>
      <c r="K408" s="1">
        <v>1.0</v>
      </c>
      <c r="L408" s="1">
        <v>2.0</v>
      </c>
      <c r="M408" s="1">
        <v>2.0</v>
      </c>
      <c r="N408" s="1">
        <v>2.0</v>
      </c>
      <c r="O408" s="1">
        <v>2.0</v>
      </c>
      <c r="P408" s="1">
        <v>2.0</v>
      </c>
      <c r="Q408" s="1"/>
      <c r="R408" s="1"/>
      <c r="S408" s="1">
        <v>87.0</v>
      </c>
      <c r="T408" s="1" t="s">
        <v>34</v>
      </c>
      <c r="U408" s="7">
        <v>4.0</v>
      </c>
      <c r="V408" s="7">
        <v>4.0</v>
      </c>
      <c r="W408" s="7">
        <v>8.0</v>
      </c>
    </row>
    <row r="409">
      <c r="A409" s="3">
        <v>46236.95725694444</v>
      </c>
      <c r="B409" s="1" t="s">
        <v>883</v>
      </c>
      <c r="C409" s="1" t="s">
        <v>384</v>
      </c>
      <c r="D409" s="1">
        <v>4.0</v>
      </c>
      <c r="E409" s="1" t="s">
        <v>184</v>
      </c>
      <c r="F409" s="4">
        <v>0.0</v>
      </c>
      <c r="G409" s="4">
        <v>0.0</v>
      </c>
      <c r="H409" s="4">
        <v>6.0</v>
      </c>
      <c r="I409" s="4">
        <v>0.0</v>
      </c>
      <c r="J409" s="1">
        <v>3.0</v>
      </c>
      <c r="K409" s="1">
        <v>-1.0</v>
      </c>
      <c r="L409" s="1">
        <v>-1.0</v>
      </c>
      <c r="M409" s="1">
        <v>2.0</v>
      </c>
      <c r="N409" s="1">
        <v>2.0</v>
      </c>
      <c r="O409" s="1">
        <v>2.0</v>
      </c>
      <c r="P409" s="1">
        <v>2.0</v>
      </c>
      <c r="Q409" s="1"/>
      <c r="R409" s="1"/>
      <c r="S409" s="1">
        <v>35.0</v>
      </c>
      <c r="T409" s="1" t="s">
        <v>34</v>
      </c>
      <c r="U409" s="7">
        <v>4.0</v>
      </c>
      <c r="V409" s="7">
        <v>4.0</v>
      </c>
      <c r="W409" s="7">
        <v>8.0</v>
      </c>
    </row>
    <row r="410">
      <c r="A410" s="3">
        <v>46237.02869212963</v>
      </c>
      <c r="B410" s="1" t="s">
        <v>885</v>
      </c>
      <c r="C410" s="1" t="s">
        <v>886</v>
      </c>
      <c r="D410" s="1">
        <v>4.0</v>
      </c>
      <c r="E410" s="1" t="s">
        <v>90</v>
      </c>
      <c r="F410" s="4">
        <v>2.0</v>
      </c>
      <c r="G410" s="4">
        <v>2.0</v>
      </c>
      <c r="H410" s="4">
        <v>1.0</v>
      </c>
      <c r="I410" s="4">
        <v>1.0</v>
      </c>
      <c r="J410" s="1">
        <v>6.0</v>
      </c>
      <c r="K410" s="1">
        <v>1.0</v>
      </c>
      <c r="L410" s="1">
        <v>-2.0</v>
      </c>
      <c r="M410" s="1">
        <v>2.0</v>
      </c>
      <c r="N410" s="1">
        <v>2.0</v>
      </c>
      <c r="O410" s="1">
        <v>2.0</v>
      </c>
      <c r="P410" s="1">
        <v>1.0</v>
      </c>
      <c r="Q410" s="1" t="s">
        <v>887</v>
      </c>
      <c r="R410" s="1" t="s">
        <v>888</v>
      </c>
      <c r="S410" s="1">
        <v>165.0</v>
      </c>
      <c r="T410" s="1" t="s">
        <v>34</v>
      </c>
      <c r="U410" s="7">
        <v>3.0</v>
      </c>
      <c r="V410" s="7">
        <v>4.0</v>
      </c>
      <c r="W410" s="7">
        <v>7.0</v>
      </c>
    </row>
    <row r="411">
      <c r="A411" s="3">
        <v>46237.19633101852</v>
      </c>
      <c r="B411" s="1" t="s">
        <v>889</v>
      </c>
      <c r="C411" s="1" t="s">
        <v>507</v>
      </c>
      <c r="D411" s="1">
        <v>4.0</v>
      </c>
      <c r="E411" s="1" t="s">
        <v>184</v>
      </c>
      <c r="F411" s="4">
        <v>0.0</v>
      </c>
      <c r="G411" s="4">
        <v>4.0</v>
      </c>
      <c r="H411" s="4">
        <v>2.0</v>
      </c>
      <c r="I411" s="4">
        <v>0.0</v>
      </c>
      <c r="J411" s="1">
        <v>7.0</v>
      </c>
      <c r="K411" s="1">
        <v>0.0</v>
      </c>
      <c r="L411" s="1">
        <v>-2.0</v>
      </c>
      <c r="M411" s="1">
        <v>1.0</v>
      </c>
      <c r="N411" s="1">
        <v>4.0</v>
      </c>
      <c r="O411" s="1">
        <v>3.0</v>
      </c>
      <c r="P411" s="1">
        <v>0.0</v>
      </c>
      <c r="Q411" s="1"/>
      <c r="R411" s="1"/>
      <c r="S411" s="1">
        <v>173.0</v>
      </c>
      <c r="T411" s="1" t="s">
        <v>28</v>
      </c>
      <c r="U411" s="7">
        <v>1.0</v>
      </c>
      <c r="V411" s="7">
        <v>7.0</v>
      </c>
      <c r="W411" s="7">
        <v>2.0</v>
      </c>
    </row>
    <row r="412">
      <c r="A412" s="3">
        <v>46237.24664351852</v>
      </c>
      <c r="B412" s="1" t="s">
        <v>890</v>
      </c>
      <c r="C412" s="1" t="s">
        <v>175</v>
      </c>
      <c r="D412" s="1">
        <v>4.0</v>
      </c>
      <c r="E412" s="1" t="s">
        <v>90</v>
      </c>
      <c r="F412" s="4">
        <v>1.0</v>
      </c>
      <c r="G412" s="4">
        <v>2.0</v>
      </c>
      <c r="H412" s="4">
        <v>3.0</v>
      </c>
      <c r="I412" s="4">
        <v>0.0</v>
      </c>
      <c r="J412" s="1">
        <v>6.0</v>
      </c>
      <c r="K412" s="1">
        <v>3.0</v>
      </c>
      <c r="L412" s="1">
        <v>-2.0</v>
      </c>
      <c r="M412" s="1">
        <v>2.0</v>
      </c>
      <c r="N412" s="1">
        <v>2.0</v>
      </c>
      <c r="O412" s="1">
        <v>2.0</v>
      </c>
      <c r="P412" s="1">
        <v>2.0</v>
      </c>
      <c r="Q412" s="1"/>
      <c r="R412" s="1"/>
      <c r="S412" s="1">
        <v>219.0</v>
      </c>
      <c r="T412" s="1" t="s">
        <v>28</v>
      </c>
      <c r="U412" s="7">
        <v>4.0</v>
      </c>
      <c r="V412" s="7">
        <v>4.0</v>
      </c>
      <c r="W412" s="7">
        <v>8.0</v>
      </c>
    </row>
    <row r="413">
      <c r="A413" s="3">
        <v>46237.289618055554</v>
      </c>
      <c r="B413" s="1" t="s">
        <v>891</v>
      </c>
      <c r="C413" s="1" t="s">
        <v>377</v>
      </c>
      <c r="D413" s="1">
        <v>4.0</v>
      </c>
      <c r="E413" s="1" t="s">
        <v>184</v>
      </c>
      <c r="F413" s="4">
        <v>4.0</v>
      </c>
      <c r="G413" s="4">
        <v>1.0</v>
      </c>
      <c r="H413" s="4">
        <v>1.0</v>
      </c>
      <c r="I413" s="4">
        <v>0.0</v>
      </c>
      <c r="J413" s="1">
        <v>4.0</v>
      </c>
      <c r="K413" s="1">
        <v>-1.0</v>
      </c>
      <c r="L413" s="1">
        <v>2.0</v>
      </c>
      <c r="M413" s="1">
        <v>1.0</v>
      </c>
      <c r="N413" s="1">
        <v>3.0</v>
      </c>
      <c r="O413" s="1">
        <v>1.0</v>
      </c>
      <c r="P413" s="1">
        <v>0.0</v>
      </c>
      <c r="Q413" s="1"/>
      <c r="R413" s="1"/>
      <c r="S413" s="1">
        <v>82.0</v>
      </c>
      <c r="T413" s="1" t="s">
        <v>28</v>
      </c>
      <c r="U413" s="7">
        <v>1.0</v>
      </c>
      <c r="V413" s="7">
        <v>4.0</v>
      </c>
      <c r="W413" s="7">
        <v>5.0</v>
      </c>
    </row>
    <row r="414">
      <c r="A414" s="3">
        <v>46237.33038194444</v>
      </c>
      <c r="B414" s="1" t="s">
        <v>892</v>
      </c>
      <c r="C414" s="1" t="s">
        <v>228</v>
      </c>
      <c r="D414" s="1">
        <v>4.0</v>
      </c>
      <c r="E414" s="1" t="s">
        <v>184</v>
      </c>
      <c r="F414" s="4">
        <v>2.0</v>
      </c>
      <c r="G414" s="4">
        <v>2.0</v>
      </c>
      <c r="H414" s="4">
        <v>2.0</v>
      </c>
      <c r="I414" s="4">
        <v>0.0</v>
      </c>
      <c r="J414" s="1">
        <v>1.0</v>
      </c>
      <c r="K414" s="1">
        <v>-3.0</v>
      </c>
      <c r="L414" s="1">
        <v>-2.0</v>
      </c>
      <c r="M414" s="1">
        <v>2.0</v>
      </c>
      <c r="N414" s="1">
        <v>2.0</v>
      </c>
      <c r="O414" s="1">
        <v>2.0</v>
      </c>
      <c r="P414" s="1">
        <v>0.0</v>
      </c>
      <c r="Q414" s="1"/>
      <c r="R414" s="1"/>
      <c r="S414" s="1">
        <v>86.0</v>
      </c>
      <c r="T414" s="1" t="s">
        <v>34</v>
      </c>
      <c r="U414" s="7">
        <v>2.0</v>
      </c>
      <c r="V414" s="7">
        <v>4.0</v>
      </c>
      <c r="W414" s="7">
        <v>6.0</v>
      </c>
    </row>
    <row r="415">
      <c r="A415" s="3">
        <v>46237.41741898148</v>
      </c>
      <c r="B415" s="1" t="s">
        <v>893</v>
      </c>
      <c r="C415" s="1" t="s">
        <v>306</v>
      </c>
      <c r="D415" s="1">
        <v>4.0</v>
      </c>
      <c r="E415" s="1" t="s">
        <v>192</v>
      </c>
      <c r="F415" s="4">
        <v>3.0</v>
      </c>
      <c r="G415" s="4">
        <v>2.0</v>
      </c>
      <c r="H415" s="4">
        <v>1.0</v>
      </c>
      <c r="I415" s="4">
        <v>0.0</v>
      </c>
      <c r="J415" s="1">
        <v>6.0</v>
      </c>
      <c r="K415" s="1">
        <v>1.0</v>
      </c>
      <c r="L415" s="1">
        <v>0.0</v>
      </c>
      <c r="M415" s="1">
        <v>2.0</v>
      </c>
      <c r="N415" s="1">
        <v>3.0</v>
      </c>
      <c r="O415" s="1">
        <v>2.0</v>
      </c>
      <c r="P415" s="1">
        <v>2.0</v>
      </c>
      <c r="Q415" s="1"/>
      <c r="R415" s="1"/>
      <c r="S415" s="1">
        <v>85.0</v>
      </c>
      <c r="T415" s="1" t="s">
        <v>28</v>
      </c>
      <c r="U415" s="7">
        <v>4.0</v>
      </c>
      <c r="V415" s="7">
        <v>5.0</v>
      </c>
      <c r="W415" s="7">
        <v>7.0</v>
      </c>
    </row>
    <row r="416">
      <c r="A416" s="3">
        <v>46237.5233912037</v>
      </c>
      <c r="B416" s="1" t="s">
        <v>894</v>
      </c>
      <c r="C416" s="1" t="s">
        <v>469</v>
      </c>
      <c r="D416" s="1">
        <v>4.0</v>
      </c>
      <c r="E416" s="1" t="s">
        <v>184</v>
      </c>
      <c r="F416" s="4">
        <v>1.0</v>
      </c>
      <c r="G416" s="4">
        <v>2.0</v>
      </c>
      <c r="H416" s="4">
        <v>3.0</v>
      </c>
      <c r="I416" s="4">
        <v>0.0</v>
      </c>
      <c r="J416" s="1">
        <v>5.0</v>
      </c>
      <c r="K416" s="1">
        <v>1.0</v>
      </c>
      <c r="L416" s="1">
        <v>-3.0</v>
      </c>
      <c r="M416" s="1">
        <v>1.0</v>
      </c>
      <c r="N416" s="1">
        <v>3.0</v>
      </c>
      <c r="O416" s="1">
        <v>3.0</v>
      </c>
      <c r="P416" s="1">
        <v>1.0</v>
      </c>
      <c r="Q416" s="1"/>
      <c r="R416" s="1"/>
      <c r="S416" s="1">
        <v>44.0</v>
      </c>
      <c r="T416" s="1" t="s">
        <v>34</v>
      </c>
      <c r="U416" s="7">
        <v>2.0</v>
      </c>
      <c r="V416" s="7">
        <v>6.0</v>
      </c>
      <c r="W416" s="7">
        <v>4.0</v>
      </c>
    </row>
    <row r="417">
      <c r="A417" s="3">
        <v>46237.54369212963</v>
      </c>
      <c r="B417" s="1" t="s">
        <v>895</v>
      </c>
      <c r="C417" s="1" t="s">
        <v>108</v>
      </c>
      <c r="D417" s="1">
        <v>4.0</v>
      </c>
      <c r="E417" s="1" t="s">
        <v>52</v>
      </c>
      <c r="F417" s="4">
        <v>1.0</v>
      </c>
      <c r="G417" s="4">
        <v>2.0</v>
      </c>
      <c r="H417" s="4">
        <v>3.0</v>
      </c>
      <c r="I417" s="4">
        <v>0.0</v>
      </c>
      <c r="J417" s="1">
        <v>6.0</v>
      </c>
      <c r="K417" s="1">
        <v>1.0</v>
      </c>
      <c r="L417" s="1">
        <v>2.0</v>
      </c>
      <c r="M417" s="1">
        <v>3.0</v>
      </c>
      <c r="N417" s="1">
        <v>3.0</v>
      </c>
      <c r="O417" s="1">
        <v>3.0</v>
      </c>
      <c r="P417" s="1">
        <v>1.0</v>
      </c>
      <c r="Q417" s="1"/>
      <c r="R417" s="1"/>
      <c r="S417" s="1">
        <v>207.0</v>
      </c>
      <c r="T417" s="1" t="s">
        <v>28</v>
      </c>
      <c r="U417" s="7">
        <v>4.0</v>
      </c>
      <c r="V417" s="7">
        <v>6.0</v>
      </c>
      <c r="W417" s="7">
        <v>6.0</v>
      </c>
    </row>
    <row r="418">
      <c r="A418" s="3">
        <v>46237.567708333336</v>
      </c>
      <c r="B418" s="1" t="s">
        <v>896</v>
      </c>
      <c r="C418" s="1" t="s">
        <v>274</v>
      </c>
      <c r="D418" s="1">
        <v>4.0</v>
      </c>
      <c r="E418" s="1" t="s">
        <v>184</v>
      </c>
      <c r="F418" s="4">
        <v>1.0</v>
      </c>
      <c r="G418" s="4">
        <v>2.0</v>
      </c>
      <c r="H418" s="4">
        <v>3.0</v>
      </c>
      <c r="I418" s="4">
        <v>0.0</v>
      </c>
      <c r="J418" s="1">
        <v>5.0</v>
      </c>
      <c r="K418" s="1">
        <v>-1.0</v>
      </c>
      <c r="L418" s="1">
        <v>-2.0</v>
      </c>
      <c r="M418" s="1">
        <v>1.0</v>
      </c>
      <c r="N418" s="1">
        <v>3.0</v>
      </c>
      <c r="O418" s="1">
        <v>2.0</v>
      </c>
      <c r="P418" s="1">
        <v>1.0</v>
      </c>
      <c r="Q418" s="1" t="s">
        <v>897</v>
      </c>
      <c r="R418" s="1"/>
      <c r="S418" s="1">
        <v>134.0</v>
      </c>
      <c r="T418" s="1" t="s">
        <v>28</v>
      </c>
      <c r="U418" s="7">
        <v>2.0</v>
      </c>
      <c r="V418" s="7">
        <v>5.0</v>
      </c>
      <c r="W418" s="7">
        <v>5.0</v>
      </c>
    </row>
    <row r="419">
      <c r="A419" s="3">
        <v>46237.57608796296</v>
      </c>
      <c r="B419" s="1" t="s">
        <v>898</v>
      </c>
      <c r="C419" s="1" t="s">
        <v>157</v>
      </c>
      <c r="D419" s="1">
        <v>4.0</v>
      </c>
      <c r="E419" s="1" t="s">
        <v>102</v>
      </c>
      <c r="F419" s="4">
        <v>1.0</v>
      </c>
      <c r="G419" s="4">
        <v>1.0</v>
      </c>
      <c r="H419" s="4">
        <v>3.0</v>
      </c>
      <c r="I419" s="4">
        <v>1.0</v>
      </c>
      <c r="J419" s="1">
        <v>5.0</v>
      </c>
      <c r="K419" s="1">
        <v>2.0</v>
      </c>
      <c r="L419" s="1">
        <v>1.0</v>
      </c>
      <c r="M419" s="1">
        <v>2.0</v>
      </c>
      <c r="N419" s="1">
        <v>1.0</v>
      </c>
      <c r="O419" s="1">
        <v>2.0</v>
      </c>
      <c r="P419" s="1">
        <v>2.0</v>
      </c>
      <c r="Q419" s="1"/>
      <c r="R419" s="1"/>
      <c r="S419" s="1">
        <v>198.0</v>
      </c>
      <c r="T419" s="1" t="s">
        <v>34</v>
      </c>
      <c r="U419" s="7">
        <v>4.0</v>
      </c>
      <c r="V419" s="7">
        <v>3.0</v>
      </c>
      <c r="W419" s="7">
        <v>9.0</v>
      </c>
    </row>
    <row r="420">
      <c r="A420" s="3">
        <v>46237.58174768519</v>
      </c>
      <c r="B420" s="1" t="s">
        <v>899</v>
      </c>
      <c r="C420" s="1" t="s">
        <v>281</v>
      </c>
      <c r="D420" s="1">
        <v>3.0</v>
      </c>
      <c r="E420" s="1" t="s">
        <v>102</v>
      </c>
      <c r="F420" s="4">
        <v>2.0</v>
      </c>
      <c r="G420" s="4">
        <v>3.0</v>
      </c>
      <c r="H420" s="4">
        <v>1.0</v>
      </c>
      <c r="I420" s="4">
        <v>0.0</v>
      </c>
      <c r="J420" s="1">
        <v>4.0</v>
      </c>
      <c r="K420" s="1">
        <v>-2.0</v>
      </c>
      <c r="L420" s="1">
        <v>-2.0</v>
      </c>
      <c r="M420" s="1">
        <v>2.0</v>
      </c>
      <c r="N420" s="1">
        <v>3.0</v>
      </c>
      <c r="O420" s="1">
        <v>2.0</v>
      </c>
      <c r="P420" s="1">
        <v>1.0</v>
      </c>
      <c r="Q420" s="1"/>
      <c r="R420" s="1"/>
      <c r="S420" s="1">
        <v>2032.0</v>
      </c>
      <c r="T420" s="1" t="s">
        <v>34</v>
      </c>
      <c r="U420" s="7">
        <v>3.0</v>
      </c>
      <c r="V420" s="7">
        <v>5.0</v>
      </c>
      <c r="W420" s="7">
        <v>6.0</v>
      </c>
    </row>
    <row r="421">
      <c r="A421" s="3">
        <v>46237.58480324074</v>
      </c>
      <c r="B421" s="1" t="s">
        <v>900</v>
      </c>
      <c r="C421" s="1" t="s">
        <v>303</v>
      </c>
      <c r="D421" s="1">
        <v>4.0</v>
      </c>
      <c r="E421" s="1" t="s">
        <v>184</v>
      </c>
      <c r="F421" s="4">
        <v>0.0</v>
      </c>
      <c r="G421" s="4">
        <v>4.0</v>
      </c>
      <c r="H421" s="4">
        <v>2.0</v>
      </c>
      <c r="I421" s="4">
        <v>0.0</v>
      </c>
      <c r="J421" s="1">
        <v>6.0</v>
      </c>
      <c r="K421" s="1">
        <v>0.0</v>
      </c>
      <c r="L421" s="1">
        <v>0.0</v>
      </c>
      <c r="M421" s="1">
        <v>2.0</v>
      </c>
      <c r="N421" s="1">
        <v>3.0</v>
      </c>
      <c r="O421" s="1">
        <v>3.0</v>
      </c>
      <c r="P421" s="1">
        <v>2.0</v>
      </c>
      <c r="Q421" s="1"/>
      <c r="R421" s="1"/>
      <c r="S421" s="1">
        <v>113.0</v>
      </c>
      <c r="T421" s="1" t="s">
        <v>34</v>
      </c>
      <c r="U421" s="7">
        <v>4.0</v>
      </c>
      <c r="V421" s="7">
        <v>6.0</v>
      </c>
      <c r="W421" s="7">
        <v>6.0</v>
      </c>
    </row>
    <row r="422">
      <c r="A422" s="3">
        <v>46237.60743055555</v>
      </c>
      <c r="B422" s="1" t="s">
        <v>901</v>
      </c>
      <c r="C422" s="1" t="s">
        <v>171</v>
      </c>
      <c r="D422" s="1">
        <v>4.0</v>
      </c>
      <c r="E422" s="1" t="s">
        <v>90</v>
      </c>
      <c r="F422" s="4">
        <v>1.0</v>
      </c>
      <c r="G422" s="4">
        <v>2.0</v>
      </c>
      <c r="H422" s="4">
        <v>3.0</v>
      </c>
      <c r="I422" s="4">
        <v>0.0</v>
      </c>
      <c r="J422" s="1">
        <v>5.0</v>
      </c>
      <c r="K422" s="1">
        <v>0.0</v>
      </c>
      <c r="L422" s="1">
        <v>-1.0</v>
      </c>
      <c r="M422" s="1">
        <v>2.0</v>
      </c>
      <c r="N422" s="1">
        <v>2.0</v>
      </c>
      <c r="O422" s="1">
        <v>3.0</v>
      </c>
      <c r="P422" s="1">
        <v>2.0</v>
      </c>
      <c r="Q422" s="1" t="s">
        <v>902</v>
      </c>
      <c r="R422" s="1"/>
      <c r="S422" s="1">
        <v>223.0</v>
      </c>
      <c r="T422" s="1" t="s">
        <v>34</v>
      </c>
      <c r="U422" s="7">
        <v>4.0</v>
      </c>
      <c r="V422" s="7">
        <v>5.0</v>
      </c>
      <c r="W422" s="7">
        <v>7.0</v>
      </c>
    </row>
    <row r="423">
      <c r="A423" s="3">
        <v>46237.65555555555</v>
      </c>
      <c r="B423" s="1" t="s">
        <v>903</v>
      </c>
      <c r="C423" s="1" t="s">
        <v>257</v>
      </c>
      <c r="D423" s="1">
        <v>4.0</v>
      </c>
      <c r="E423" s="1" t="s">
        <v>184</v>
      </c>
      <c r="F423" s="4">
        <v>1.0</v>
      </c>
      <c r="G423" s="4">
        <v>2.0</v>
      </c>
      <c r="H423" s="4">
        <v>3.0</v>
      </c>
      <c r="I423" s="4">
        <v>0.0</v>
      </c>
      <c r="J423" s="1">
        <v>5.0</v>
      </c>
      <c r="K423" s="1">
        <v>1.0</v>
      </c>
      <c r="L423" s="1">
        <v>0.0</v>
      </c>
      <c r="M423" s="1">
        <v>1.0</v>
      </c>
      <c r="N423" s="1">
        <v>3.0</v>
      </c>
      <c r="O423" s="1">
        <v>3.0</v>
      </c>
      <c r="P423" s="1">
        <v>1.0</v>
      </c>
      <c r="Q423" s="1"/>
      <c r="R423" s="1"/>
      <c r="S423" s="1">
        <v>268.0</v>
      </c>
      <c r="T423" s="1" t="s">
        <v>34</v>
      </c>
      <c r="U423" s="7">
        <v>2.0</v>
      </c>
      <c r="V423" s="7">
        <v>6.0</v>
      </c>
      <c r="W423" s="7">
        <v>4.0</v>
      </c>
    </row>
    <row r="424">
      <c r="A424" s="3">
        <v>46237.73575231482</v>
      </c>
      <c r="B424" s="1" t="s">
        <v>904</v>
      </c>
      <c r="C424" s="1" t="s">
        <v>532</v>
      </c>
      <c r="D424" s="1">
        <v>4.0</v>
      </c>
      <c r="E424" s="1" t="s">
        <v>184</v>
      </c>
      <c r="F424" s="4">
        <v>1.0</v>
      </c>
      <c r="G424" s="4">
        <v>2.0</v>
      </c>
      <c r="H424" s="4">
        <v>3.0</v>
      </c>
      <c r="I424" s="4">
        <v>0.0</v>
      </c>
      <c r="J424" s="1">
        <v>4.0</v>
      </c>
      <c r="K424" s="1">
        <v>-1.0</v>
      </c>
      <c r="L424" s="1">
        <v>-1.0</v>
      </c>
      <c r="M424" s="1">
        <v>0.0</v>
      </c>
      <c r="N424" s="1">
        <v>3.0</v>
      </c>
      <c r="O424" s="1">
        <v>2.0</v>
      </c>
      <c r="P424" s="1">
        <v>0.0</v>
      </c>
      <c r="Q424" s="1"/>
      <c r="R424" s="1" t="s">
        <v>905</v>
      </c>
      <c r="S424" s="1">
        <v>363.0</v>
      </c>
      <c r="T424" s="1" t="s">
        <v>34</v>
      </c>
      <c r="U424" s="7">
        <v>0.0</v>
      </c>
      <c r="V424" s="7">
        <v>5.0</v>
      </c>
      <c r="W424" s="7">
        <v>3.0</v>
      </c>
    </row>
    <row r="425">
      <c r="A425" s="3">
        <v>46237.805138888885</v>
      </c>
      <c r="B425" s="1" t="s">
        <v>906</v>
      </c>
      <c r="C425" s="1" t="s">
        <v>252</v>
      </c>
      <c r="D425" s="1">
        <v>4.0</v>
      </c>
      <c r="E425" s="1" t="s">
        <v>192</v>
      </c>
      <c r="F425" s="4">
        <v>0.0</v>
      </c>
      <c r="G425" s="4">
        <v>3.0</v>
      </c>
      <c r="H425" s="4">
        <v>3.0</v>
      </c>
      <c r="I425" s="4">
        <v>0.0</v>
      </c>
      <c r="J425" s="1">
        <v>3.0</v>
      </c>
      <c r="K425" s="1">
        <v>-2.0</v>
      </c>
      <c r="L425" s="1">
        <v>-3.0</v>
      </c>
      <c r="M425" s="1">
        <v>4.0</v>
      </c>
      <c r="N425" s="1">
        <v>4.0</v>
      </c>
      <c r="O425" s="1">
        <v>4.0</v>
      </c>
      <c r="P425" s="1">
        <v>1.0</v>
      </c>
      <c r="Q425" s="1"/>
      <c r="R425" s="1"/>
      <c r="S425" s="1">
        <v>61.0</v>
      </c>
      <c r="T425" s="1" t="s">
        <v>28</v>
      </c>
      <c r="U425" s="7">
        <v>5.0</v>
      </c>
      <c r="V425" s="7">
        <v>8.0</v>
      </c>
      <c r="W425" s="7">
        <v>5.0</v>
      </c>
    </row>
    <row r="426">
      <c r="A426" s="3">
        <v>46237.8299537037</v>
      </c>
      <c r="B426" s="1" t="s">
        <v>907</v>
      </c>
      <c r="C426" s="1" t="s">
        <v>627</v>
      </c>
      <c r="D426" s="1">
        <v>3.0</v>
      </c>
      <c r="E426" s="1" t="s">
        <v>102</v>
      </c>
      <c r="F426" s="4">
        <v>1.0</v>
      </c>
      <c r="G426" s="4">
        <v>4.0</v>
      </c>
      <c r="H426" s="4">
        <v>1.0</v>
      </c>
      <c r="I426" s="4">
        <v>0.0</v>
      </c>
      <c r="J426" s="1">
        <v>5.0</v>
      </c>
      <c r="K426" s="1">
        <v>-1.0</v>
      </c>
      <c r="L426" s="1">
        <v>0.0</v>
      </c>
      <c r="M426" s="1">
        <v>2.0</v>
      </c>
      <c r="N426" s="1">
        <v>2.0</v>
      </c>
      <c r="O426" s="1">
        <v>2.0</v>
      </c>
      <c r="P426" s="1">
        <v>1.0</v>
      </c>
      <c r="Q426" s="1" t="s">
        <v>909</v>
      </c>
      <c r="R426" s="1" t="s">
        <v>910</v>
      </c>
      <c r="S426" s="1">
        <v>2625.0</v>
      </c>
      <c r="T426" s="1" t="s">
        <v>34</v>
      </c>
      <c r="U426" s="7">
        <v>3.0</v>
      </c>
      <c r="V426" s="7">
        <v>4.0</v>
      </c>
      <c r="W426" s="7">
        <v>7.0</v>
      </c>
    </row>
    <row r="427">
      <c r="A427" s="3">
        <v>46237.875659722224</v>
      </c>
      <c r="B427" s="1" t="s">
        <v>911</v>
      </c>
      <c r="C427" s="1" t="s">
        <v>912</v>
      </c>
      <c r="D427" s="1">
        <v>4.0</v>
      </c>
      <c r="E427" s="1" t="s">
        <v>49</v>
      </c>
      <c r="F427" s="4">
        <v>1.0</v>
      </c>
      <c r="G427" s="4">
        <v>0.0</v>
      </c>
      <c r="H427" s="4">
        <v>2.0</v>
      </c>
      <c r="I427" s="4">
        <v>3.0</v>
      </c>
      <c r="J427" s="1">
        <v>3.0</v>
      </c>
      <c r="K427" s="1">
        <v>0.0</v>
      </c>
      <c r="L427" s="1">
        <v>2.0</v>
      </c>
      <c r="M427" s="1">
        <v>2.0</v>
      </c>
      <c r="N427" s="1">
        <v>2.0</v>
      </c>
      <c r="O427" s="1">
        <v>1.0</v>
      </c>
      <c r="P427" s="1">
        <v>2.0</v>
      </c>
      <c r="Q427" s="1"/>
      <c r="R427" s="1"/>
      <c r="S427" s="1">
        <v>81.0</v>
      </c>
      <c r="T427" s="1" t="s">
        <v>28</v>
      </c>
      <c r="U427" s="7">
        <v>4.0</v>
      </c>
      <c r="V427" s="7">
        <v>3.0</v>
      </c>
      <c r="W427" s="7">
        <v>9.0</v>
      </c>
    </row>
    <row r="428">
      <c r="A428" s="3">
        <v>46237.903391203705</v>
      </c>
      <c r="B428" s="1" t="s">
        <v>913</v>
      </c>
      <c r="C428" s="1" t="s">
        <v>30</v>
      </c>
      <c r="D428" s="1">
        <v>4.0</v>
      </c>
      <c r="E428" s="1" t="s">
        <v>31</v>
      </c>
      <c r="F428" s="4">
        <v>1.0</v>
      </c>
      <c r="G428" s="4">
        <v>3.0</v>
      </c>
      <c r="H428" s="4">
        <v>2.0</v>
      </c>
      <c r="I428" s="4">
        <v>0.0</v>
      </c>
      <c r="J428" s="1">
        <v>5.0</v>
      </c>
      <c r="K428" s="1">
        <v>1.0</v>
      </c>
      <c r="L428" s="1">
        <v>1.0</v>
      </c>
      <c r="M428" s="1">
        <v>2.0</v>
      </c>
      <c r="N428" s="1">
        <v>3.0</v>
      </c>
      <c r="O428" s="1">
        <v>3.0</v>
      </c>
      <c r="P428" s="1">
        <v>1.0</v>
      </c>
      <c r="Q428" s="1" t="s">
        <v>917</v>
      </c>
      <c r="R428" s="1"/>
      <c r="S428" s="1">
        <v>311.0</v>
      </c>
      <c r="T428" s="1" t="s">
        <v>34</v>
      </c>
      <c r="U428" s="7">
        <v>3.0</v>
      </c>
      <c r="V428" s="7">
        <v>6.0</v>
      </c>
      <c r="W428" s="7">
        <v>5.0</v>
      </c>
    </row>
    <row r="429">
      <c r="A429" s="3">
        <v>46237.928761574076</v>
      </c>
      <c r="B429" s="1" t="s">
        <v>918</v>
      </c>
      <c r="C429" s="1" t="s">
        <v>266</v>
      </c>
      <c r="D429" s="1">
        <v>4.0</v>
      </c>
      <c r="E429" s="1" t="s">
        <v>184</v>
      </c>
      <c r="F429" s="4">
        <v>1.0</v>
      </c>
      <c r="G429" s="4">
        <v>2.0</v>
      </c>
      <c r="H429" s="4">
        <v>3.0</v>
      </c>
      <c r="I429" s="4">
        <v>0.0</v>
      </c>
      <c r="J429" s="1">
        <v>6.0</v>
      </c>
      <c r="K429" s="1">
        <v>-1.0</v>
      </c>
      <c r="L429" s="1">
        <v>-2.0</v>
      </c>
      <c r="M429" s="1">
        <v>1.0</v>
      </c>
      <c r="N429" s="1">
        <v>4.0</v>
      </c>
      <c r="O429" s="1">
        <v>4.0</v>
      </c>
      <c r="P429" s="1">
        <v>0.0</v>
      </c>
      <c r="Q429" s="1"/>
      <c r="R429" s="1"/>
      <c r="S429" s="1">
        <v>87.0</v>
      </c>
      <c r="T429" s="1" t="s">
        <v>34</v>
      </c>
      <c r="U429" s="7">
        <v>1.0</v>
      </c>
      <c r="V429" s="7">
        <v>8.0</v>
      </c>
      <c r="W429" s="7">
        <v>1.0</v>
      </c>
    </row>
    <row r="430">
      <c r="A430" s="3">
        <v>46237.93481481481</v>
      </c>
      <c r="B430" s="1" t="s">
        <v>919</v>
      </c>
      <c r="C430" s="1" t="s">
        <v>149</v>
      </c>
      <c r="D430" s="1">
        <v>4.0</v>
      </c>
      <c r="E430" s="1" t="s">
        <v>102</v>
      </c>
      <c r="F430" s="4">
        <v>0.0</v>
      </c>
      <c r="G430" s="4">
        <v>0.0</v>
      </c>
      <c r="H430" s="4">
        <v>1.0</v>
      </c>
      <c r="I430" s="4">
        <v>5.0</v>
      </c>
      <c r="J430" s="1">
        <v>4.0</v>
      </c>
      <c r="K430" s="1">
        <v>0.0</v>
      </c>
      <c r="L430" s="1">
        <v>-3.0</v>
      </c>
      <c r="M430" s="1">
        <v>0.0</v>
      </c>
      <c r="N430" s="1">
        <v>3.0</v>
      </c>
      <c r="O430" s="1">
        <v>4.0</v>
      </c>
      <c r="P430" s="1">
        <v>0.0</v>
      </c>
      <c r="Q430" s="1"/>
      <c r="R430" s="1"/>
      <c r="S430" s="1">
        <v>68.0</v>
      </c>
      <c r="T430" s="1" t="s">
        <v>34</v>
      </c>
      <c r="U430" s="7">
        <v>0.0</v>
      </c>
      <c r="V430" s="7">
        <v>7.0</v>
      </c>
      <c r="W430" s="7">
        <v>1.0</v>
      </c>
    </row>
    <row r="431">
      <c r="A431" s="3">
        <v>46237.95711805556</v>
      </c>
      <c r="B431" s="1" t="s">
        <v>920</v>
      </c>
      <c r="C431" s="1" t="s">
        <v>240</v>
      </c>
      <c r="D431" s="1">
        <v>4.0</v>
      </c>
      <c r="E431" s="1" t="s">
        <v>184</v>
      </c>
      <c r="F431" s="4">
        <v>2.0</v>
      </c>
      <c r="G431" s="4">
        <v>2.0</v>
      </c>
      <c r="H431" s="4">
        <v>2.0</v>
      </c>
      <c r="I431" s="4">
        <v>0.0</v>
      </c>
      <c r="J431" s="1">
        <v>5.0</v>
      </c>
      <c r="K431" s="1">
        <v>1.0</v>
      </c>
      <c r="L431" s="1">
        <v>0.0</v>
      </c>
      <c r="M431" s="1">
        <v>0.0</v>
      </c>
      <c r="N431" s="1">
        <v>1.0</v>
      </c>
      <c r="O431" s="1">
        <v>2.0</v>
      </c>
      <c r="P431" s="1">
        <v>1.0</v>
      </c>
      <c r="Q431" s="1"/>
      <c r="R431" s="1"/>
      <c r="S431" s="1">
        <v>115.0</v>
      </c>
      <c r="T431" s="1" t="s">
        <v>34</v>
      </c>
      <c r="U431" s="7">
        <v>1.0</v>
      </c>
      <c r="V431" s="7">
        <v>3.0</v>
      </c>
      <c r="W431" s="7">
        <v>6.0</v>
      </c>
    </row>
    <row r="432">
      <c r="A432" s="3">
        <v>46237.9725</v>
      </c>
      <c r="B432" s="1" t="s">
        <v>921</v>
      </c>
      <c r="C432" s="1" t="s">
        <v>291</v>
      </c>
      <c r="D432" s="1">
        <v>4.0</v>
      </c>
      <c r="E432" s="1" t="s">
        <v>184</v>
      </c>
      <c r="F432" s="4">
        <v>1.0</v>
      </c>
      <c r="G432" s="4">
        <v>3.0</v>
      </c>
      <c r="H432" s="4">
        <v>2.0</v>
      </c>
      <c r="I432" s="4">
        <v>0.0</v>
      </c>
      <c r="J432" s="1">
        <v>5.0</v>
      </c>
      <c r="K432" s="1">
        <v>2.0</v>
      </c>
      <c r="L432" s="1">
        <v>-2.0</v>
      </c>
      <c r="M432" s="1">
        <v>3.0</v>
      </c>
      <c r="N432" s="1">
        <v>2.0</v>
      </c>
      <c r="O432" s="1">
        <v>2.0</v>
      </c>
      <c r="P432" s="1">
        <v>2.0</v>
      </c>
      <c r="Q432" s="1" t="s">
        <v>922</v>
      </c>
      <c r="R432" s="1" t="s">
        <v>923</v>
      </c>
      <c r="S432" s="1">
        <v>479.0</v>
      </c>
      <c r="T432" s="1" t="s">
        <v>34</v>
      </c>
      <c r="U432" s="7">
        <v>5.0</v>
      </c>
      <c r="V432" s="7">
        <v>4.0</v>
      </c>
      <c r="W432" s="7">
        <v>9.0</v>
      </c>
    </row>
    <row r="433">
      <c r="A433" s="3">
        <v>46237.978483796294</v>
      </c>
      <c r="B433" s="1" t="s">
        <v>924</v>
      </c>
      <c r="C433" s="1" t="s">
        <v>474</v>
      </c>
      <c r="D433" s="1">
        <v>4.0</v>
      </c>
      <c r="E433" s="1" t="s">
        <v>184</v>
      </c>
      <c r="F433" s="4">
        <v>0.0</v>
      </c>
      <c r="G433" s="4">
        <v>0.0</v>
      </c>
      <c r="H433" s="4">
        <v>6.0</v>
      </c>
      <c r="I433" s="4">
        <v>0.0</v>
      </c>
      <c r="J433" s="1">
        <v>4.0</v>
      </c>
      <c r="K433" s="1">
        <v>0.0</v>
      </c>
      <c r="L433" s="1">
        <v>0.0</v>
      </c>
      <c r="M433" s="1">
        <v>2.0</v>
      </c>
      <c r="N433" s="1">
        <v>2.0</v>
      </c>
      <c r="O433" s="1">
        <v>2.0</v>
      </c>
      <c r="P433" s="1">
        <v>2.0</v>
      </c>
      <c r="Q433" s="1"/>
      <c r="R433" s="1"/>
      <c r="S433" s="1">
        <v>24.0</v>
      </c>
      <c r="T433" s="1" t="s">
        <v>34</v>
      </c>
      <c r="U433" s="7">
        <v>4.0</v>
      </c>
      <c r="V433" s="7">
        <v>4.0</v>
      </c>
      <c r="W433" s="7">
        <v>8.0</v>
      </c>
    </row>
    <row r="434">
      <c r="A434" s="3">
        <v>46238.11854166666</v>
      </c>
      <c r="B434" s="1" t="s">
        <v>925</v>
      </c>
      <c r="C434" s="1" t="s">
        <v>372</v>
      </c>
      <c r="D434" s="1">
        <v>4.0</v>
      </c>
      <c r="E434" s="1" t="s">
        <v>192</v>
      </c>
      <c r="F434" s="4">
        <v>1.0</v>
      </c>
      <c r="G434" s="4">
        <v>2.0</v>
      </c>
      <c r="H434" s="4">
        <v>3.0</v>
      </c>
      <c r="I434" s="4">
        <v>0.0</v>
      </c>
      <c r="J434" s="1">
        <v>4.0</v>
      </c>
      <c r="K434" s="1">
        <v>1.0</v>
      </c>
      <c r="L434" s="1">
        <v>2.0</v>
      </c>
      <c r="M434" s="1">
        <v>2.0</v>
      </c>
      <c r="N434" s="1">
        <v>3.0</v>
      </c>
      <c r="O434" s="1">
        <v>3.0</v>
      </c>
      <c r="P434" s="1">
        <v>1.0</v>
      </c>
      <c r="Q434" s="1" t="s">
        <v>926</v>
      </c>
      <c r="R434" s="1" t="s">
        <v>927</v>
      </c>
      <c r="S434" s="1">
        <v>223.0</v>
      </c>
      <c r="T434" s="1" t="s">
        <v>28</v>
      </c>
      <c r="U434" s="7">
        <v>3.0</v>
      </c>
      <c r="V434" s="7">
        <v>6.0</v>
      </c>
      <c r="W434" s="7">
        <v>5.0</v>
      </c>
    </row>
    <row r="435">
      <c r="A435" s="3">
        <v>46238.28791666667</v>
      </c>
      <c r="B435" s="1" t="s">
        <v>928</v>
      </c>
      <c r="C435" s="1" t="s">
        <v>76</v>
      </c>
      <c r="D435" s="1">
        <v>4.0</v>
      </c>
      <c r="E435" s="1" t="s">
        <v>52</v>
      </c>
      <c r="F435" s="4">
        <v>1.0</v>
      </c>
      <c r="G435" s="4">
        <v>2.0</v>
      </c>
      <c r="H435" s="4">
        <v>3.0</v>
      </c>
      <c r="I435" s="4">
        <v>0.0</v>
      </c>
      <c r="J435" s="1">
        <v>6.0</v>
      </c>
      <c r="K435" s="1">
        <v>1.0</v>
      </c>
      <c r="L435" s="1">
        <v>2.0</v>
      </c>
      <c r="M435" s="1">
        <v>1.0</v>
      </c>
      <c r="N435" s="1">
        <v>3.0</v>
      </c>
      <c r="O435" s="1">
        <v>3.0</v>
      </c>
      <c r="P435" s="1">
        <v>1.0</v>
      </c>
      <c r="Q435" s="1" t="s">
        <v>929</v>
      </c>
      <c r="R435" s="1" t="s">
        <v>930</v>
      </c>
      <c r="S435" s="1">
        <v>301.0</v>
      </c>
      <c r="T435" s="1" t="s">
        <v>34</v>
      </c>
      <c r="U435" s="7">
        <v>2.0</v>
      </c>
      <c r="V435" s="7">
        <v>6.0</v>
      </c>
      <c r="W435" s="7">
        <v>4.0</v>
      </c>
    </row>
    <row r="436">
      <c r="A436" s="3">
        <v>46238.36300925926</v>
      </c>
      <c r="B436" s="1" t="s">
        <v>931</v>
      </c>
      <c r="C436" s="1" t="s">
        <v>259</v>
      </c>
      <c r="D436" s="1">
        <v>4.0</v>
      </c>
      <c r="E436" s="1" t="s">
        <v>184</v>
      </c>
      <c r="F436" s="4">
        <v>1.0</v>
      </c>
      <c r="G436" s="4">
        <v>2.0</v>
      </c>
      <c r="H436" s="4">
        <v>3.0</v>
      </c>
      <c r="I436" s="4">
        <v>0.0</v>
      </c>
      <c r="J436" s="1">
        <v>3.0</v>
      </c>
      <c r="K436" s="1">
        <v>-2.0</v>
      </c>
      <c r="L436" s="1">
        <v>-2.0</v>
      </c>
      <c r="M436" s="1">
        <v>3.0</v>
      </c>
      <c r="N436" s="1">
        <v>4.0</v>
      </c>
      <c r="O436" s="1">
        <v>4.0</v>
      </c>
      <c r="P436" s="1">
        <v>2.0</v>
      </c>
      <c r="Q436" s="1" t="s">
        <v>932</v>
      </c>
      <c r="R436" s="1" t="s">
        <v>933</v>
      </c>
      <c r="S436" s="1">
        <v>1173.0</v>
      </c>
      <c r="T436" s="1" t="s">
        <v>34</v>
      </c>
      <c r="U436" s="7">
        <v>5.0</v>
      </c>
      <c r="V436" s="7">
        <v>8.0</v>
      </c>
      <c r="W436" s="7">
        <v>5.0</v>
      </c>
    </row>
    <row r="437">
      <c r="A437" s="3">
        <v>46238.551875</v>
      </c>
      <c r="B437" s="1" t="s">
        <v>934</v>
      </c>
      <c r="C437" s="1" t="s">
        <v>440</v>
      </c>
      <c r="D437" s="1">
        <v>4.0</v>
      </c>
      <c r="E437" s="1" t="s">
        <v>184</v>
      </c>
      <c r="F437" s="4">
        <v>0.0</v>
      </c>
      <c r="G437" s="4">
        <v>1.0</v>
      </c>
      <c r="H437" s="4">
        <v>5.0</v>
      </c>
      <c r="I437" s="4">
        <v>0.0</v>
      </c>
      <c r="J437" s="1">
        <v>4.0</v>
      </c>
      <c r="K437" s="1">
        <v>0.0</v>
      </c>
      <c r="L437" s="1">
        <v>1.0</v>
      </c>
      <c r="M437" s="1">
        <v>1.0</v>
      </c>
      <c r="N437" s="1">
        <v>3.0</v>
      </c>
      <c r="O437" s="1">
        <v>3.0</v>
      </c>
      <c r="P437" s="1">
        <v>3.0</v>
      </c>
      <c r="Q437" s="1"/>
      <c r="R437" s="1"/>
      <c r="S437" s="1">
        <v>135.0</v>
      </c>
      <c r="T437" s="1" t="s">
        <v>34</v>
      </c>
      <c r="U437" s="7">
        <v>4.0</v>
      </c>
      <c r="V437" s="7">
        <v>6.0</v>
      </c>
      <c r="W437" s="7">
        <v>6.0</v>
      </c>
    </row>
    <row r="438">
      <c r="A438" s="3">
        <v>46238.643229166664</v>
      </c>
      <c r="B438" s="1" t="s">
        <v>935</v>
      </c>
      <c r="C438" s="1" t="s">
        <v>492</v>
      </c>
      <c r="D438" s="1">
        <v>4.0</v>
      </c>
      <c r="E438" s="1" t="s">
        <v>102</v>
      </c>
      <c r="F438" s="4">
        <v>1.0</v>
      </c>
      <c r="G438" s="4">
        <v>2.0</v>
      </c>
      <c r="H438" s="4">
        <v>1.0</v>
      </c>
      <c r="I438" s="4">
        <v>2.0</v>
      </c>
      <c r="J438" s="1">
        <v>6.0</v>
      </c>
      <c r="K438" s="1">
        <v>1.0</v>
      </c>
      <c r="L438" s="1">
        <v>0.0</v>
      </c>
      <c r="M438" s="1">
        <v>3.0</v>
      </c>
      <c r="N438" s="1">
        <v>3.0</v>
      </c>
      <c r="O438" s="1">
        <v>3.0</v>
      </c>
      <c r="P438" s="1">
        <v>3.0</v>
      </c>
      <c r="Q438" s="1" t="s">
        <v>936</v>
      </c>
      <c r="R438" s="1"/>
      <c r="S438" s="1">
        <v>55.0</v>
      </c>
      <c r="T438" s="1" t="s">
        <v>34</v>
      </c>
      <c r="U438" s="7">
        <v>6.0</v>
      </c>
      <c r="V438" s="7">
        <v>6.0</v>
      </c>
      <c r="W438" s="7">
        <v>8.0</v>
      </c>
    </row>
    <row r="439">
      <c r="A439" s="3">
        <v>46239.19354166667</v>
      </c>
      <c r="B439" s="1" t="s">
        <v>937</v>
      </c>
      <c r="C439" s="1" t="s">
        <v>659</v>
      </c>
      <c r="D439" s="1">
        <v>4.0</v>
      </c>
      <c r="E439" s="1" t="s">
        <v>102</v>
      </c>
      <c r="F439" s="4">
        <v>3.0</v>
      </c>
      <c r="G439" s="4">
        <v>2.0</v>
      </c>
      <c r="H439" s="4">
        <v>1.0</v>
      </c>
      <c r="I439" s="4">
        <v>0.0</v>
      </c>
      <c r="J439" s="1">
        <v>5.0</v>
      </c>
      <c r="K439" s="1">
        <v>-1.0</v>
      </c>
      <c r="L439" s="1">
        <v>2.0</v>
      </c>
      <c r="M439" s="1">
        <v>2.0</v>
      </c>
      <c r="N439" s="1">
        <v>2.0</v>
      </c>
      <c r="O439" s="1">
        <v>2.0</v>
      </c>
      <c r="P439" s="1">
        <v>2.0</v>
      </c>
      <c r="Q439" s="1"/>
      <c r="R439" s="1"/>
      <c r="S439" s="1">
        <v>103.0</v>
      </c>
      <c r="T439" s="1" t="s">
        <v>28</v>
      </c>
      <c r="U439" s="7">
        <v>4.0</v>
      </c>
      <c r="V439" s="7">
        <v>4.0</v>
      </c>
      <c r="W439" s="7">
        <v>8.0</v>
      </c>
    </row>
    <row r="440">
      <c r="A440" s="3">
        <v>46239.346030092594</v>
      </c>
      <c r="B440" s="1" t="s">
        <v>938</v>
      </c>
      <c r="C440" s="1" t="s">
        <v>442</v>
      </c>
      <c r="D440" s="1">
        <v>4.0</v>
      </c>
      <c r="E440" s="1" t="s">
        <v>184</v>
      </c>
      <c r="F440" s="4">
        <v>5.0</v>
      </c>
      <c r="G440" s="4">
        <v>0.0</v>
      </c>
      <c r="H440" s="4">
        <v>1.0</v>
      </c>
      <c r="I440" s="4">
        <v>0.0</v>
      </c>
      <c r="J440" s="1">
        <v>4.0</v>
      </c>
      <c r="K440" s="1">
        <v>-1.0</v>
      </c>
      <c r="L440" s="1">
        <v>2.0</v>
      </c>
      <c r="M440" s="1">
        <v>0.0</v>
      </c>
      <c r="N440" s="1">
        <v>3.0</v>
      </c>
      <c r="O440" s="1">
        <v>2.0</v>
      </c>
      <c r="P440" s="1">
        <v>2.0</v>
      </c>
      <c r="Q440" s="1"/>
      <c r="R440" s="1"/>
      <c r="S440" s="1">
        <v>50.0</v>
      </c>
      <c r="T440" s="1" t="s">
        <v>34</v>
      </c>
      <c r="U440" s="7">
        <v>2.0</v>
      </c>
      <c r="V440" s="7">
        <v>5.0</v>
      </c>
      <c r="W440" s="7">
        <v>5.0</v>
      </c>
    </row>
    <row r="441">
      <c r="A441" s="3">
        <v>46239.45991898148</v>
      </c>
      <c r="B441" s="1" t="s">
        <v>939</v>
      </c>
      <c r="C441" s="1" t="s">
        <v>114</v>
      </c>
      <c r="D441" s="1">
        <v>4.0</v>
      </c>
      <c r="E441" s="1" t="s">
        <v>90</v>
      </c>
      <c r="F441" s="4">
        <v>2.0</v>
      </c>
      <c r="G441" s="4">
        <v>1.0</v>
      </c>
      <c r="H441" s="4">
        <v>1.0</v>
      </c>
      <c r="I441" s="4">
        <v>2.0</v>
      </c>
      <c r="J441" s="1">
        <v>6.0</v>
      </c>
      <c r="K441" s="1">
        <v>-2.0</v>
      </c>
      <c r="L441" s="1">
        <v>2.0</v>
      </c>
      <c r="M441" s="1">
        <v>2.0</v>
      </c>
      <c r="N441" s="1">
        <v>2.0</v>
      </c>
      <c r="O441" s="1">
        <v>2.0</v>
      </c>
      <c r="P441" s="1">
        <v>2.0</v>
      </c>
      <c r="Q441" s="1" t="s">
        <v>940</v>
      </c>
      <c r="R441" s="1"/>
      <c r="S441" s="1">
        <v>241.0</v>
      </c>
      <c r="T441" s="1" t="s">
        <v>34</v>
      </c>
      <c r="U441" s="7">
        <v>4.0</v>
      </c>
      <c r="V441" s="7">
        <v>4.0</v>
      </c>
      <c r="W441" s="7">
        <v>8.0</v>
      </c>
    </row>
    <row r="442">
      <c r="A442" s="3">
        <v>46240.335543981484</v>
      </c>
      <c r="B442" s="1" t="s">
        <v>941</v>
      </c>
      <c r="C442" s="1" t="s">
        <v>96</v>
      </c>
      <c r="D442" s="1">
        <v>4.0</v>
      </c>
      <c r="E442" s="1" t="s">
        <v>90</v>
      </c>
      <c r="F442" s="4">
        <v>0.0</v>
      </c>
      <c r="G442" s="4">
        <v>1.0</v>
      </c>
      <c r="H442" s="4">
        <v>5.0</v>
      </c>
      <c r="I442" s="4">
        <v>0.0</v>
      </c>
      <c r="J442" s="1">
        <v>5.0</v>
      </c>
      <c r="K442" s="1">
        <v>-1.0</v>
      </c>
      <c r="L442" s="1">
        <v>2.0</v>
      </c>
      <c r="M442" s="1">
        <v>3.0</v>
      </c>
      <c r="N442" s="1">
        <v>3.0</v>
      </c>
      <c r="O442" s="1">
        <v>2.0</v>
      </c>
      <c r="P442" s="1">
        <v>3.0</v>
      </c>
      <c r="Q442" s="1"/>
      <c r="R442" s="1"/>
      <c r="S442" s="1">
        <v>47.0</v>
      </c>
      <c r="T442" s="1" t="s">
        <v>28</v>
      </c>
      <c r="U442" s="7">
        <v>6.0</v>
      </c>
      <c r="V442" s="7">
        <v>5.0</v>
      </c>
      <c r="W442" s="7">
        <v>9.0</v>
      </c>
    </row>
    <row r="443">
      <c r="A443" s="3">
        <v>46241.752291666664</v>
      </c>
      <c r="B443" s="1" t="s">
        <v>942</v>
      </c>
      <c r="C443" s="1" t="s">
        <v>259</v>
      </c>
      <c r="D443" s="1">
        <v>4.0</v>
      </c>
      <c r="E443" s="1" t="s">
        <v>184</v>
      </c>
      <c r="F443" s="4">
        <v>1.0</v>
      </c>
      <c r="G443" s="4">
        <v>2.0</v>
      </c>
      <c r="H443" s="4">
        <v>3.0</v>
      </c>
      <c r="I443" s="4">
        <v>0.0</v>
      </c>
      <c r="J443" s="1">
        <v>3.0</v>
      </c>
      <c r="K443" s="1">
        <v>-2.0</v>
      </c>
      <c r="L443" s="1">
        <v>-2.0</v>
      </c>
      <c r="M443" s="1">
        <v>3.0</v>
      </c>
      <c r="N443" s="1">
        <v>4.0</v>
      </c>
      <c r="O443" s="1">
        <v>4.0</v>
      </c>
      <c r="P443" s="1">
        <v>2.0</v>
      </c>
      <c r="Q443" s="1" t="s">
        <v>943</v>
      </c>
      <c r="R443" s="1" t="s">
        <v>933</v>
      </c>
      <c r="S443" s="1">
        <v>64.0</v>
      </c>
      <c r="T443" s="1" t="s">
        <v>34</v>
      </c>
      <c r="U443" s="7">
        <v>5.0</v>
      </c>
      <c r="V443" s="7">
        <v>8.0</v>
      </c>
      <c r="W443" s="7">
        <v>5.0</v>
      </c>
    </row>
    <row r="444">
      <c r="A444" s="3">
        <v>46243.35144675926</v>
      </c>
      <c r="B444" s="1" t="s">
        <v>944</v>
      </c>
      <c r="C444" s="1" t="s">
        <v>179</v>
      </c>
      <c r="D444" s="1">
        <v>5.0</v>
      </c>
      <c r="E444" s="1" t="s">
        <v>49</v>
      </c>
      <c r="F444" s="4">
        <v>3.0</v>
      </c>
      <c r="G444" s="4">
        <v>0.0</v>
      </c>
      <c r="H444" s="4">
        <v>1.0</v>
      </c>
      <c r="I444" s="4">
        <v>2.0</v>
      </c>
      <c r="J444" s="1">
        <v>3.0</v>
      </c>
      <c r="K444" s="1">
        <v>-2.0</v>
      </c>
      <c r="L444" s="1">
        <v>2.0</v>
      </c>
      <c r="M444" s="1">
        <v>2.0</v>
      </c>
      <c r="N444" s="1">
        <v>3.0</v>
      </c>
      <c r="O444" s="1">
        <v>2.0</v>
      </c>
      <c r="P444" s="1">
        <v>2.0</v>
      </c>
      <c r="Q444" s="1"/>
      <c r="R444" s="1"/>
      <c r="S444" s="1">
        <v>107.0</v>
      </c>
      <c r="T444" s="1" t="s">
        <v>28</v>
      </c>
      <c r="U444" s="7">
        <v>4.0</v>
      </c>
      <c r="V444" s="7">
        <v>5.0</v>
      </c>
      <c r="W444" s="7">
        <v>7.0</v>
      </c>
    </row>
    <row r="445">
      <c r="A445" s="3">
        <v>46243.35375</v>
      </c>
      <c r="B445" s="1" t="s">
        <v>945</v>
      </c>
      <c r="C445" s="1" t="s">
        <v>200</v>
      </c>
      <c r="D445" s="1">
        <v>5.0</v>
      </c>
      <c r="E445" s="1" t="s">
        <v>184</v>
      </c>
      <c r="F445" s="4">
        <v>1.0</v>
      </c>
      <c r="G445" s="4">
        <v>1.0</v>
      </c>
      <c r="H445" s="4">
        <v>4.0</v>
      </c>
      <c r="I445" s="4">
        <v>0.0</v>
      </c>
      <c r="J445" s="1">
        <v>4.0</v>
      </c>
      <c r="K445" s="1">
        <v>-1.0</v>
      </c>
      <c r="L445" s="1">
        <v>-2.0</v>
      </c>
      <c r="M445" s="1">
        <v>0.0</v>
      </c>
      <c r="N445" s="1">
        <v>3.0</v>
      </c>
      <c r="O445" s="1">
        <v>3.0</v>
      </c>
      <c r="P445" s="1">
        <v>0.0</v>
      </c>
      <c r="Q445" s="1"/>
      <c r="R445" s="1"/>
      <c r="S445" s="1">
        <v>77.0</v>
      </c>
      <c r="T445" s="1" t="s">
        <v>28</v>
      </c>
      <c r="U445" s="7">
        <v>0.0</v>
      </c>
      <c r="V445" s="7">
        <v>6.0</v>
      </c>
      <c r="W445" s="7">
        <v>2.0</v>
      </c>
    </row>
    <row r="446">
      <c r="A446" s="3">
        <v>46243.37259259259</v>
      </c>
      <c r="B446" s="1" t="s">
        <v>946</v>
      </c>
      <c r="C446" s="1" t="s">
        <v>387</v>
      </c>
      <c r="D446" s="1">
        <v>5.0</v>
      </c>
      <c r="E446" s="1" t="s">
        <v>192</v>
      </c>
      <c r="F446" s="4">
        <v>0.0</v>
      </c>
      <c r="G446" s="4">
        <v>4.0</v>
      </c>
      <c r="H446" s="4">
        <v>2.0</v>
      </c>
      <c r="I446" s="4">
        <v>0.0</v>
      </c>
      <c r="J446" s="1">
        <v>7.0</v>
      </c>
      <c r="K446" s="1">
        <v>3.0</v>
      </c>
      <c r="L446" s="1">
        <v>-2.0</v>
      </c>
      <c r="M446" s="1">
        <v>2.0</v>
      </c>
      <c r="N446" s="1">
        <v>3.0</v>
      </c>
      <c r="O446" s="1">
        <v>3.0</v>
      </c>
      <c r="P446" s="1">
        <v>2.0</v>
      </c>
      <c r="Q446" s="1" t="s">
        <v>947</v>
      </c>
      <c r="R446" s="1" t="s">
        <v>948</v>
      </c>
      <c r="S446" s="1">
        <v>1000.0</v>
      </c>
      <c r="T446" s="1" t="s">
        <v>28</v>
      </c>
      <c r="U446" s="7">
        <v>4.0</v>
      </c>
      <c r="V446" s="7">
        <v>6.0</v>
      </c>
      <c r="W446" s="7">
        <v>6.0</v>
      </c>
    </row>
    <row r="447">
      <c r="A447" s="3">
        <v>46243.38928240741</v>
      </c>
      <c r="B447" s="1" t="s">
        <v>949</v>
      </c>
      <c r="C447" s="1" t="s">
        <v>271</v>
      </c>
      <c r="D447" s="1">
        <v>5.0</v>
      </c>
      <c r="E447" s="1" t="s">
        <v>192</v>
      </c>
      <c r="F447" s="4">
        <v>1.0</v>
      </c>
      <c r="G447" s="4">
        <v>4.0</v>
      </c>
      <c r="H447" s="4">
        <v>1.0</v>
      </c>
      <c r="I447" s="4">
        <v>0.0</v>
      </c>
      <c r="J447" s="1">
        <v>7.0</v>
      </c>
      <c r="K447" s="1">
        <v>3.0</v>
      </c>
      <c r="L447" s="1">
        <v>-3.0</v>
      </c>
      <c r="M447" s="1">
        <v>0.0</v>
      </c>
      <c r="N447" s="1">
        <v>4.0</v>
      </c>
      <c r="O447" s="1">
        <v>4.0</v>
      </c>
      <c r="P447" s="1">
        <v>0.0</v>
      </c>
      <c r="Q447" s="1" t="s">
        <v>950</v>
      </c>
      <c r="R447" s="1"/>
      <c r="S447" s="1">
        <v>129.0</v>
      </c>
      <c r="T447" s="1" t="s">
        <v>28</v>
      </c>
      <c r="U447" s="7">
        <v>0.0</v>
      </c>
      <c r="V447" s="7">
        <v>8.0</v>
      </c>
      <c r="W447" s="7">
        <v>0.0</v>
      </c>
    </row>
    <row r="448">
      <c r="A448" s="3">
        <v>46243.389444444445</v>
      </c>
      <c r="B448" s="1" t="s">
        <v>951</v>
      </c>
      <c r="C448" s="1" t="s">
        <v>191</v>
      </c>
      <c r="D448" s="1">
        <v>5.0</v>
      </c>
      <c r="E448" s="1" t="s">
        <v>192</v>
      </c>
      <c r="F448" s="4">
        <v>0.0</v>
      </c>
      <c r="G448" s="4">
        <v>3.0</v>
      </c>
      <c r="H448" s="4">
        <v>3.0</v>
      </c>
      <c r="I448" s="4">
        <v>0.0</v>
      </c>
      <c r="J448" s="1">
        <v>6.0</v>
      </c>
      <c r="K448" s="1">
        <v>1.0</v>
      </c>
      <c r="L448" s="1">
        <v>0.0</v>
      </c>
      <c r="M448" s="1">
        <v>1.0</v>
      </c>
      <c r="N448" s="1">
        <v>3.0</v>
      </c>
      <c r="O448" s="1">
        <v>3.0</v>
      </c>
      <c r="P448" s="1">
        <v>1.0</v>
      </c>
      <c r="Q448" s="1"/>
      <c r="R448" s="1"/>
      <c r="S448" s="1">
        <v>200.0</v>
      </c>
      <c r="T448" s="1" t="s">
        <v>28</v>
      </c>
      <c r="U448" s="7">
        <v>2.0</v>
      </c>
      <c r="V448" s="7">
        <v>6.0</v>
      </c>
      <c r="W448" s="7">
        <v>4.0</v>
      </c>
    </row>
    <row r="449">
      <c r="A449" s="3">
        <v>46243.38988425926</v>
      </c>
      <c r="B449" s="1" t="s">
        <v>952</v>
      </c>
      <c r="C449" s="1" t="s">
        <v>41</v>
      </c>
      <c r="D449" s="1">
        <v>5.0</v>
      </c>
      <c r="E449" s="1" t="s">
        <v>31</v>
      </c>
      <c r="F449" s="4">
        <v>3.0</v>
      </c>
      <c r="G449" s="4">
        <v>1.0</v>
      </c>
      <c r="H449" s="4">
        <v>2.0</v>
      </c>
      <c r="I449" s="4">
        <v>0.0</v>
      </c>
      <c r="J449" s="1">
        <v>4.0</v>
      </c>
      <c r="K449" s="1">
        <v>-3.0</v>
      </c>
      <c r="L449" s="1">
        <v>3.0</v>
      </c>
      <c r="M449" s="1">
        <v>2.0</v>
      </c>
      <c r="N449" s="1">
        <v>3.0</v>
      </c>
      <c r="O449" s="1">
        <v>2.0</v>
      </c>
      <c r="P449" s="1">
        <v>2.0</v>
      </c>
      <c r="Q449" s="1"/>
      <c r="R449" s="1"/>
      <c r="S449" s="1">
        <v>133.0</v>
      </c>
      <c r="T449" s="1" t="s">
        <v>28</v>
      </c>
      <c r="U449" s="7">
        <v>4.0</v>
      </c>
      <c r="V449" s="7">
        <v>5.0</v>
      </c>
      <c r="W449" s="7">
        <v>7.0</v>
      </c>
    </row>
    <row r="450">
      <c r="A450" s="3">
        <v>46243.39494212963</v>
      </c>
      <c r="B450" s="1" t="s">
        <v>953</v>
      </c>
      <c r="C450" s="1" t="s">
        <v>194</v>
      </c>
      <c r="D450" s="1">
        <v>5.0</v>
      </c>
      <c r="E450" s="1" t="s">
        <v>184</v>
      </c>
      <c r="F450" s="4">
        <v>0.0</v>
      </c>
      <c r="G450" s="4">
        <v>2.0</v>
      </c>
      <c r="H450" s="4">
        <v>4.0</v>
      </c>
      <c r="I450" s="4">
        <v>0.0</v>
      </c>
      <c r="J450" s="1">
        <v>7.0</v>
      </c>
      <c r="K450" s="1">
        <v>2.0</v>
      </c>
      <c r="L450" s="1">
        <v>-1.0</v>
      </c>
      <c r="M450" s="1">
        <v>1.0</v>
      </c>
      <c r="N450" s="1">
        <v>3.0</v>
      </c>
      <c r="O450" s="1">
        <v>4.0</v>
      </c>
      <c r="P450" s="1">
        <v>1.0</v>
      </c>
      <c r="Q450" s="1" t="s">
        <v>954</v>
      </c>
      <c r="R450" s="1" t="s">
        <v>955</v>
      </c>
      <c r="S450" s="1">
        <v>126.0</v>
      </c>
      <c r="T450" s="1" t="s">
        <v>28</v>
      </c>
      <c r="U450" s="7">
        <v>2.0</v>
      </c>
      <c r="V450" s="7">
        <v>7.0</v>
      </c>
      <c r="W450" s="7">
        <v>3.0</v>
      </c>
    </row>
    <row r="451">
      <c r="A451" s="3">
        <v>46243.39902777778</v>
      </c>
      <c r="B451" s="1" t="s">
        <v>956</v>
      </c>
      <c r="C451" s="1" t="s">
        <v>62</v>
      </c>
      <c r="D451" s="1">
        <v>5.0</v>
      </c>
      <c r="E451" s="1" t="s">
        <v>52</v>
      </c>
      <c r="F451" s="4">
        <v>0.0</v>
      </c>
      <c r="G451" s="4">
        <v>2.0</v>
      </c>
      <c r="H451" s="4">
        <v>4.0</v>
      </c>
      <c r="I451" s="4">
        <v>0.0</v>
      </c>
      <c r="J451" s="1">
        <v>6.0</v>
      </c>
      <c r="K451" s="1">
        <v>2.0</v>
      </c>
      <c r="L451" s="1">
        <v>-1.0</v>
      </c>
      <c r="M451" s="1">
        <v>2.0</v>
      </c>
      <c r="N451" s="1">
        <v>2.0</v>
      </c>
      <c r="O451" s="1">
        <v>3.0</v>
      </c>
      <c r="P451" s="1">
        <v>1.0</v>
      </c>
      <c r="Q451" s="1" t="s">
        <v>957</v>
      </c>
      <c r="R451" s="1"/>
      <c r="S451" s="1">
        <v>93.0</v>
      </c>
      <c r="T451" s="1" t="s">
        <v>28</v>
      </c>
      <c r="U451" s="7">
        <v>3.0</v>
      </c>
      <c r="V451" s="7">
        <v>5.0</v>
      </c>
      <c r="W451" s="7">
        <v>6.0</v>
      </c>
    </row>
    <row r="452">
      <c r="A452" s="3">
        <v>46243.40826388889</v>
      </c>
      <c r="B452" s="1" t="s">
        <v>958</v>
      </c>
      <c r="C452" s="1" t="s">
        <v>133</v>
      </c>
      <c r="D452" s="1">
        <v>5.0</v>
      </c>
      <c r="E452" s="1" t="s">
        <v>90</v>
      </c>
      <c r="F452" s="4">
        <v>2.0</v>
      </c>
      <c r="G452" s="4">
        <v>2.0</v>
      </c>
      <c r="H452" s="4">
        <v>2.0</v>
      </c>
      <c r="I452" s="4">
        <v>0.0</v>
      </c>
      <c r="J452" s="1">
        <v>6.0</v>
      </c>
      <c r="K452" s="1">
        <v>2.0</v>
      </c>
      <c r="L452" s="1">
        <v>-1.0</v>
      </c>
      <c r="M452" s="1">
        <v>2.0</v>
      </c>
      <c r="N452" s="1">
        <v>3.0</v>
      </c>
      <c r="O452" s="1">
        <v>2.0</v>
      </c>
      <c r="P452" s="1">
        <v>3.0</v>
      </c>
      <c r="Q452" s="1" t="s">
        <v>959</v>
      </c>
      <c r="R452" s="1" t="s">
        <v>293</v>
      </c>
      <c r="S452" s="1">
        <v>1292.0</v>
      </c>
      <c r="T452" s="1" t="s">
        <v>28</v>
      </c>
      <c r="U452" s="7">
        <v>5.0</v>
      </c>
      <c r="V452" s="7">
        <v>5.0</v>
      </c>
      <c r="W452" s="7">
        <v>8.0</v>
      </c>
    </row>
    <row r="453">
      <c r="A453" s="3">
        <v>46243.40940972222</v>
      </c>
      <c r="B453" s="1" t="s">
        <v>960</v>
      </c>
      <c r="C453" s="1" t="s">
        <v>393</v>
      </c>
      <c r="D453" s="1">
        <v>5.0</v>
      </c>
      <c r="E453" s="1" t="s">
        <v>102</v>
      </c>
      <c r="F453" s="4">
        <v>1.0</v>
      </c>
      <c r="G453" s="4">
        <v>2.0</v>
      </c>
      <c r="H453" s="4">
        <v>3.0</v>
      </c>
      <c r="I453" s="4">
        <v>0.0</v>
      </c>
      <c r="J453" s="1">
        <v>6.0</v>
      </c>
      <c r="K453" s="1">
        <v>2.0</v>
      </c>
      <c r="L453" s="1">
        <v>0.0</v>
      </c>
      <c r="M453" s="1">
        <v>2.0</v>
      </c>
      <c r="N453" s="1">
        <v>3.0</v>
      </c>
      <c r="O453" s="1">
        <v>3.0</v>
      </c>
      <c r="P453" s="1">
        <v>1.0</v>
      </c>
      <c r="Q453" s="1" t="s">
        <v>961</v>
      </c>
      <c r="R453" s="1" t="s">
        <v>962</v>
      </c>
      <c r="S453" s="1">
        <v>1297.0</v>
      </c>
      <c r="T453" s="1" t="s">
        <v>28</v>
      </c>
      <c r="U453" s="7">
        <v>3.0</v>
      </c>
      <c r="V453" s="7">
        <v>6.0</v>
      </c>
      <c r="W453" s="7">
        <v>5.0</v>
      </c>
    </row>
    <row r="454">
      <c r="A454" s="3">
        <v>46243.425532407404</v>
      </c>
      <c r="B454" s="1" t="s">
        <v>963</v>
      </c>
      <c r="C454" s="1" t="s">
        <v>187</v>
      </c>
      <c r="D454" s="1">
        <v>5.0</v>
      </c>
      <c r="E454" s="1" t="s">
        <v>184</v>
      </c>
      <c r="F454" s="4">
        <v>3.0</v>
      </c>
      <c r="G454" s="4">
        <v>1.0</v>
      </c>
      <c r="H454" s="4">
        <v>2.0</v>
      </c>
      <c r="I454" s="4">
        <v>0.0</v>
      </c>
      <c r="J454" s="1">
        <v>4.0</v>
      </c>
      <c r="K454" s="1">
        <v>-1.0</v>
      </c>
      <c r="L454" s="1">
        <v>-1.0</v>
      </c>
      <c r="M454" s="1">
        <v>1.0</v>
      </c>
      <c r="N454" s="1">
        <v>3.0</v>
      </c>
      <c r="O454" s="1">
        <v>2.0</v>
      </c>
      <c r="P454" s="1">
        <v>1.0</v>
      </c>
      <c r="Q454" s="1"/>
      <c r="R454" s="1"/>
      <c r="S454" s="1">
        <v>365.0</v>
      </c>
      <c r="T454" s="1" t="s">
        <v>28</v>
      </c>
      <c r="U454" s="7">
        <v>2.0</v>
      </c>
      <c r="V454" s="7">
        <v>5.0</v>
      </c>
      <c r="W454" s="7">
        <v>5.0</v>
      </c>
    </row>
    <row r="455">
      <c r="A455" s="3">
        <v>46243.43582175926</v>
      </c>
      <c r="B455" s="1" t="s">
        <v>964</v>
      </c>
      <c r="C455" s="1" t="s">
        <v>183</v>
      </c>
      <c r="D455" s="1">
        <v>5.0</v>
      </c>
      <c r="E455" s="1" t="s">
        <v>184</v>
      </c>
      <c r="F455" s="4">
        <v>3.0</v>
      </c>
      <c r="G455" s="4">
        <v>1.0</v>
      </c>
      <c r="H455" s="4">
        <v>2.0</v>
      </c>
      <c r="I455" s="4">
        <v>0.0</v>
      </c>
      <c r="J455" s="1">
        <v>2.0</v>
      </c>
      <c r="K455" s="1">
        <v>-2.0</v>
      </c>
      <c r="L455" s="1">
        <v>2.0</v>
      </c>
      <c r="M455" s="1">
        <v>2.0</v>
      </c>
      <c r="N455" s="1">
        <v>2.0</v>
      </c>
      <c r="O455" s="1">
        <v>2.0</v>
      </c>
      <c r="P455" s="1">
        <v>1.0</v>
      </c>
      <c r="Q455" s="1"/>
      <c r="R455" s="1"/>
      <c r="S455" s="1">
        <v>223.0</v>
      </c>
      <c r="T455" s="1" t="s">
        <v>28</v>
      </c>
      <c r="U455" s="7">
        <v>3.0</v>
      </c>
      <c r="V455" s="7">
        <v>4.0</v>
      </c>
      <c r="W455" s="7">
        <v>7.0</v>
      </c>
    </row>
    <row r="456">
      <c r="A456" s="3">
        <v>46243.44195601852</v>
      </c>
      <c r="B456" s="1" t="s">
        <v>965</v>
      </c>
      <c r="C456" s="1" t="s">
        <v>228</v>
      </c>
      <c r="D456" s="1">
        <v>5.0</v>
      </c>
      <c r="E456" s="1" t="s">
        <v>192</v>
      </c>
      <c r="F456" s="4">
        <v>0.0</v>
      </c>
      <c r="G456" s="4">
        <v>5.0</v>
      </c>
      <c r="H456" s="4">
        <v>1.0</v>
      </c>
      <c r="I456" s="4">
        <v>0.0</v>
      </c>
      <c r="J456" s="1">
        <v>5.0</v>
      </c>
      <c r="K456" s="1">
        <v>-1.0</v>
      </c>
      <c r="L456" s="1">
        <v>0.0</v>
      </c>
      <c r="M456" s="1">
        <v>2.0</v>
      </c>
      <c r="N456" s="1">
        <v>3.0</v>
      </c>
      <c r="O456" s="1">
        <v>1.0</v>
      </c>
      <c r="P456" s="1">
        <v>2.0</v>
      </c>
      <c r="Q456" s="1"/>
      <c r="R456" s="1"/>
      <c r="S456" s="1">
        <v>139.0</v>
      </c>
      <c r="T456" s="1" t="s">
        <v>28</v>
      </c>
      <c r="U456" s="7">
        <v>4.0</v>
      </c>
      <c r="V456" s="7">
        <v>4.0</v>
      </c>
      <c r="W456" s="7">
        <v>8.0</v>
      </c>
    </row>
    <row r="457">
      <c r="A457" s="3">
        <v>46243.4603587963</v>
      </c>
      <c r="B457" s="1" t="s">
        <v>966</v>
      </c>
      <c r="C457" s="1" t="s">
        <v>323</v>
      </c>
      <c r="D457" s="1">
        <v>5.0</v>
      </c>
      <c r="E457" s="1" t="s">
        <v>192</v>
      </c>
      <c r="F457" s="4">
        <v>4.0</v>
      </c>
      <c r="G457" s="4">
        <v>1.0</v>
      </c>
      <c r="H457" s="4">
        <v>1.0</v>
      </c>
      <c r="I457" s="4">
        <v>0.0</v>
      </c>
      <c r="J457" s="1">
        <v>5.0</v>
      </c>
      <c r="K457" s="1">
        <v>-1.0</v>
      </c>
      <c r="L457" s="1">
        <v>-1.0</v>
      </c>
      <c r="M457" s="1">
        <v>1.0</v>
      </c>
      <c r="N457" s="1">
        <v>2.0</v>
      </c>
      <c r="O457" s="1">
        <v>2.0</v>
      </c>
      <c r="P457" s="1">
        <v>2.0</v>
      </c>
      <c r="Q457" s="1"/>
      <c r="R457" s="1"/>
      <c r="S457" s="1">
        <v>60.0</v>
      </c>
      <c r="T457" s="1" t="s">
        <v>34</v>
      </c>
      <c r="U457" s="7">
        <v>3.0</v>
      </c>
      <c r="V457" s="7">
        <v>4.0</v>
      </c>
      <c r="W457" s="7">
        <v>7.0</v>
      </c>
    </row>
    <row r="458">
      <c r="A458" s="3">
        <v>46243.46140046296</v>
      </c>
      <c r="B458" s="1" t="s">
        <v>967</v>
      </c>
      <c r="C458" s="1" t="s">
        <v>684</v>
      </c>
      <c r="D458" s="1">
        <v>5.0</v>
      </c>
      <c r="E458" s="1" t="s">
        <v>184</v>
      </c>
      <c r="F458" s="4">
        <v>3.0</v>
      </c>
      <c r="G458" s="4">
        <v>1.0</v>
      </c>
      <c r="H458" s="4">
        <v>2.0</v>
      </c>
      <c r="I458" s="4">
        <v>0.0</v>
      </c>
      <c r="J458" s="1">
        <v>6.0</v>
      </c>
      <c r="K458" s="1">
        <v>0.0</v>
      </c>
      <c r="L458" s="1">
        <v>1.0</v>
      </c>
      <c r="M458" s="1">
        <v>3.0</v>
      </c>
      <c r="N458" s="1">
        <v>2.0</v>
      </c>
      <c r="O458" s="1">
        <v>1.0</v>
      </c>
      <c r="P458" s="1">
        <v>1.0</v>
      </c>
      <c r="Q458" s="1"/>
      <c r="R458" s="1"/>
      <c r="S458" s="1">
        <v>63.0</v>
      </c>
      <c r="T458" s="1" t="s">
        <v>34</v>
      </c>
      <c r="U458" s="7">
        <v>4.0</v>
      </c>
      <c r="V458" s="7">
        <v>3.0</v>
      </c>
      <c r="W458" s="7">
        <v>9.0</v>
      </c>
    </row>
    <row r="459">
      <c r="A459" s="3">
        <v>46243.46811342592</v>
      </c>
      <c r="B459" s="1" t="s">
        <v>968</v>
      </c>
      <c r="C459" s="1" t="s">
        <v>206</v>
      </c>
      <c r="D459" s="1">
        <v>5.0</v>
      </c>
      <c r="E459" s="1" t="s">
        <v>192</v>
      </c>
      <c r="F459" s="4">
        <v>4.0</v>
      </c>
      <c r="G459" s="4">
        <v>1.0</v>
      </c>
      <c r="H459" s="4">
        <v>1.0</v>
      </c>
      <c r="I459" s="4">
        <v>0.0</v>
      </c>
      <c r="J459" s="1">
        <v>4.0</v>
      </c>
      <c r="K459" s="1">
        <v>3.0</v>
      </c>
      <c r="L459" s="1">
        <v>-1.0</v>
      </c>
      <c r="M459" s="1">
        <v>3.0</v>
      </c>
      <c r="N459" s="1">
        <v>2.0</v>
      </c>
      <c r="O459" s="1">
        <v>1.0</v>
      </c>
      <c r="P459" s="1">
        <v>2.0</v>
      </c>
      <c r="Q459" s="1"/>
      <c r="R459" s="1"/>
      <c r="S459" s="1">
        <v>433.0</v>
      </c>
      <c r="T459" s="1" t="s">
        <v>28</v>
      </c>
      <c r="U459" s="7">
        <v>5.0</v>
      </c>
      <c r="V459" s="7">
        <v>3.0</v>
      </c>
      <c r="W459" s="7">
        <v>10.0</v>
      </c>
    </row>
    <row r="460">
      <c r="A460" s="3">
        <v>46243.47178240741</v>
      </c>
      <c r="B460" s="1" t="s">
        <v>969</v>
      </c>
      <c r="C460" s="1" t="s">
        <v>244</v>
      </c>
      <c r="D460" s="1">
        <v>5.0</v>
      </c>
      <c r="E460" s="1" t="s">
        <v>102</v>
      </c>
      <c r="F460" s="4">
        <v>2.0</v>
      </c>
      <c r="G460" s="4">
        <v>1.0</v>
      </c>
      <c r="H460" s="4">
        <v>3.0</v>
      </c>
      <c r="I460" s="4">
        <v>0.0</v>
      </c>
      <c r="J460" s="1">
        <v>3.0</v>
      </c>
      <c r="K460" s="1">
        <v>-1.0</v>
      </c>
      <c r="L460" s="1">
        <v>-1.0</v>
      </c>
      <c r="M460" s="1">
        <v>0.0</v>
      </c>
      <c r="N460" s="1">
        <v>3.0</v>
      </c>
      <c r="O460" s="1">
        <v>2.0</v>
      </c>
      <c r="P460" s="1">
        <v>0.0</v>
      </c>
      <c r="Q460" s="1"/>
      <c r="R460" s="1"/>
      <c r="S460" s="1">
        <v>75.0</v>
      </c>
      <c r="T460" s="1" t="s">
        <v>34</v>
      </c>
      <c r="U460" s="7">
        <v>0.0</v>
      </c>
      <c r="V460" s="7">
        <v>5.0</v>
      </c>
      <c r="W460" s="7">
        <v>3.0</v>
      </c>
    </row>
    <row r="461">
      <c r="A461" s="3">
        <v>46243.50996527778</v>
      </c>
      <c r="B461" s="1" t="s">
        <v>970</v>
      </c>
      <c r="C461" s="1" t="s">
        <v>96</v>
      </c>
      <c r="D461" s="1">
        <v>5.0</v>
      </c>
      <c r="E461" s="1" t="s">
        <v>85</v>
      </c>
      <c r="F461" s="4">
        <v>2.0</v>
      </c>
      <c r="G461" s="4">
        <v>0.0</v>
      </c>
      <c r="H461" s="4">
        <v>4.0</v>
      </c>
      <c r="I461" s="4">
        <v>0.0</v>
      </c>
      <c r="J461" s="1">
        <v>5.0</v>
      </c>
      <c r="K461" s="1">
        <v>1.0</v>
      </c>
      <c r="L461" s="1">
        <v>3.0</v>
      </c>
      <c r="M461" s="1">
        <v>3.0</v>
      </c>
      <c r="N461" s="1">
        <v>3.0</v>
      </c>
      <c r="O461" s="1">
        <v>2.0</v>
      </c>
      <c r="P461" s="1">
        <v>2.0</v>
      </c>
      <c r="Q461" s="1"/>
      <c r="R461" s="1"/>
      <c r="S461" s="1">
        <v>35.0</v>
      </c>
      <c r="T461" s="1" t="s">
        <v>34</v>
      </c>
      <c r="U461" s="7">
        <v>5.0</v>
      </c>
      <c r="V461" s="7">
        <v>5.0</v>
      </c>
      <c r="W461" s="7">
        <v>8.0</v>
      </c>
    </row>
    <row r="462">
      <c r="A462" s="3">
        <v>46243.520891203705</v>
      </c>
      <c r="B462" s="1" t="s">
        <v>971</v>
      </c>
      <c r="C462" s="1" t="s">
        <v>189</v>
      </c>
      <c r="D462" s="1">
        <v>5.0</v>
      </c>
      <c r="E462" s="1" t="s">
        <v>184</v>
      </c>
      <c r="F462" s="4">
        <v>0.0</v>
      </c>
      <c r="G462" s="4">
        <v>3.0</v>
      </c>
      <c r="H462" s="4">
        <v>3.0</v>
      </c>
      <c r="I462" s="4">
        <v>0.0</v>
      </c>
      <c r="J462" s="1">
        <v>4.0</v>
      </c>
      <c r="K462" s="1">
        <v>0.0</v>
      </c>
      <c r="L462" s="1">
        <v>2.0</v>
      </c>
      <c r="M462" s="1">
        <v>0.0</v>
      </c>
      <c r="N462" s="1">
        <v>2.0</v>
      </c>
      <c r="O462" s="1">
        <v>2.0</v>
      </c>
      <c r="P462" s="1">
        <v>0.0</v>
      </c>
      <c r="Q462" s="1"/>
      <c r="R462" s="1"/>
      <c r="S462" s="1">
        <v>45.0</v>
      </c>
      <c r="T462" s="1" t="s">
        <v>34</v>
      </c>
      <c r="U462" s="7">
        <v>0.0</v>
      </c>
      <c r="V462" s="7">
        <v>4.0</v>
      </c>
      <c r="W462" s="7">
        <v>4.0</v>
      </c>
    </row>
    <row r="463">
      <c r="A463" s="3">
        <v>46243.53123842592</v>
      </c>
      <c r="B463" s="1" t="s">
        <v>972</v>
      </c>
      <c r="C463" s="1" t="s">
        <v>196</v>
      </c>
      <c r="D463" s="1">
        <v>5.0</v>
      </c>
      <c r="E463" s="1" t="s">
        <v>184</v>
      </c>
      <c r="F463" s="4">
        <v>1.0</v>
      </c>
      <c r="G463" s="4">
        <v>2.0</v>
      </c>
      <c r="H463" s="4">
        <v>3.0</v>
      </c>
      <c r="I463" s="4">
        <v>0.0</v>
      </c>
      <c r="J463" s="1">
        <v>6.0</v>
      </c>
      <c r="K463" s="1">
        <v>0.0</v>
      </c>
      <c r="L463" s="1">
        <v>-2.0</v>
      </c>
      <c r="M463" s="1">
        <v>1.0</v>
      </c>
      <c r="N463" s="1">
        <v>4.0</v>
      </c>
      <c r="O463" s="1">
        <v>3.0</v>
      </c>
      <c r="P463" s="1">
        <v>0.0</v>
      </c>
      <c r="Q463" s="1" t="s">
        <v>973</v>
      </c>
      <c r="R463" s="1"/>
      <c r="S463" s="1">
        <v>206.0</v>
      </c>
      <c r="T463" s="1" t="s">
        <v>28</v>
      </c>
      <c r="U463" s="7">
        <v>1.0</v>
      </c>
      <c r="V463" s="7">
        <v>7.0</v>
      </c>
      <c r="W463" s="7">
        <v>2.0</v>
      </c>
    </row>
    <row r="464">
      <c r="A464" s="3">
        <v>46243.547685185185</v>
      </c>
      <c r="B464" s="1" t="s">
        <v>974</v>
      </c>
      <c r="C464" s="1" t="s">
        <v>140</v>
      </c>
      <c r="D464" s="1">
        <v>5.0</v>
      </c>
      <c r="E464" s="1" t="s">
        <v>90</v>
      </c>
      <c r="F464" s="4">
        <v>0.0</v>
      </c>
      <c r="G464" s="4">
        <v>3.0</v>
      </c>
      <c r="H464" s="4">
        <v>1.0</v>
      </c>
      <c r="I464" s="4">
        <v>2.0</v>
      </c>
      <c r="J464" s="1">
        <v>7.0</v>
      </c>
      <c r="K464" s="1">
        <v>2.0</v>
      </c>
      <c r="L464" s="1">
        <v>-1.0</v>
      </c>
      <c r="M464" s="1">
        <v>0.0</v>
      </c>
      <c r="N464" s="1">
        <v>4.0</v>
      </c>
      <c r="O464" s="1">
        <v>3.0</v>
      </c>
      <c r="P464" s="1">
        <v>1.0</v>
      </c>
      <c r="Q464" s="1" t="s">
        <v>975</v>
      </c>
      <c r="R464" s="1"/>
      <c r="S464" s="1">
        <v>852.0</v>
      </c>
      <c r="T464" s="1" t="s">
        <v>28</v>
      </c>
      <c r="U464" s="7">
        <v>1.0</v>
      </c>
      <c r="V464" s="7">
        <v>7.0</v>
      </c>
      <c r="W464" s="7">
        <v>2.0</v>
      </c>
    </row>
    <row r="465">
      <c r="A465" s="3">
        <v>46243.55248842593</v>
      </c>
      <c r="B465" s="1" t="s">
        <v>976</v>
      </c>
      <c r="C465" s="1" t="s">
        <v>393</v>
      </c>
      <c r="D465" s="1">
        <v>5.0</v>
      </c>
      <c r="E465" s="1" t="s">
        <v>102</v>
      </c>
      <c r="F465" s="4">
        <v>1.0</v>
      </c>
      <c r="G465" s="4">
        <v>2.0</v>
      </c>
      <c r="H465" s="4">
        <v>3.0</v>
      </c>
      <c r="I465" s="4">
        <v>0.0</v>
      </c>
      <c r="J465" s="1">
        <v>6.0</v>
      </c>
      <c r="K465" s="1">
        <v>2.0</v>
      </c>
      <c r="L465" s="1">
        <v>0.0</v>
      </c>
      <c r="M465" s="1">
        <v>2.0</v>
      </c>
      <c r="N465" s="1">
        <v>3.0</v>
      </c>
      <c r="O465" s="1">
        <v>3.0</v>
      </c>
      <c r="P465" s="1">
        <v>1.0</v>
      </c>
      <c r="Q465" s="1" t="s">
        <v>961</v>
      </c>
      <c r="R465" s="1" t="s">
        <v>962</v>
      </c>
      <c r="S465" s="1">
        <v>20.0</v>
      </c>
      <c r="T465" s="1" t="s">
        <v>28</v>
      </c>
      <c r="U465" s="7">
        <v>3.0</v>
      </c>
      <c r="V465" s="7">
        <v>6.0</v>
      </c>
      <c r="W465" s="7">
        <v>5.0</v>
      </c>
    </row>
    <row r="466">
      <c r="A466" s="3">
        <v>46243.56537037037</v>
      </c>
      <c r="B466" s="1" t="s">
        <v>977</v>
      </c>
      <c r="C466" s="1" t="s">
        <v>469</v>
      </c>
      <c r="D466" s="1">
        <v>5.0</v>
      </c>
      <c r="E466" s="1" t="s">
        <v>184</v>
      </c>
      <c r="F466" s="4">
        <v>2.0</v>
      </c>
      <c r="G466" s="4">
        <v>1.0</v>
      </c>
      <c r="H466" s="4">
        <v>2.0</v>
      </c>
      <c r="I466" s="4">
        <v>1.0</v>
      </c>
      <c r="J466" s="1">
        <v>4.0</v>
      </c>
      <c r="K466" s="1">
        <v>-1.0</v>
      </c>
      <c r="L466" s="1">
        <v>-1.0</v>
      </c>
      <c r="M466" s="1">
        <v>2.0</v>
      </c>
      <c r="N466" s="1">
        <v>3.0</v>
      </c>
      <c r="O466" s="1">
        <v>2.0</v>
      </c>
      <c r="P466" s="1">
        <v>1.0</v>
      </c>
      <c r="Q466" s="1" t="s">
        <v>978</v>
      </c>
      <c r="R466" s="1"/>
      <c r="S466" s="1">
        <v>225.0</v>
      </c>
      <c r="T466" s="1" t="s">
        <v>34</v>
      </c>
      <c r="U466" s="7">
        <v>3.0</v>
      </c>
      <c r="V466" s="7">
        <v>5.0</v>
      </c>
      <c r="W466" s="7">
        <v>6.0</v>
      </c>
    </row>
    <row r="467">
      <c r="A467" s="3">
        <v>46243.56721064815</v>
      </c>
      <c r="B467" s="1" t="s">
        <v>979</v>
      </c>
      <c r="C467" s="1" t="s">
        <v>84</v>
      </c>
      <c r="D467" s="1">
        <v>5.0</v>
      </c>
      <c r="E467" s="1" t="s">
        <v>85</v>
      </c>
      <c r="F467" s="4">
        <v>1.0</v>
      </c>
      <c r="G467" s="4">
        <v>3.0</v>
      </c>
      <c r="H467" s="4">
        <v>2.0</v>
      </c>
      <c r="I467" s="4">
        <v>0.0</v>
      </c>
      <c r="J467" s="1">
        <v>7.0</v>
      </c>
      <c r="K467" s="1">
        <v>3.0</v>
      </c>
      <c r="L467" s="1">
        <v>-3.0</v>
      </c>
      <c r="M467" s="1">
        <v>2.0</v>
      </c>
      <c r="N467" s="1">
        <v>2.0</v>
      </c>
      <c r="O467" s="1">
        <v>3.0</v>
      </c>
      <c r="P467" s="1">
        <v>1.0</v>
      </c>
      <c r="Q467" s="1" t="s">
        <v>980</v>
      </c>
      <c r="R467" s="1" t="s">
        <v>981</v>
      </c>
      <c r="S467" s="1">
        <v>3107.0</v>
      </c>
      <c r="T467" s="1" t="s">
        <v>28</v>
      </c>
      <c r="U467" s="7">
        <v>3.0</v>
      </c>
      <c r="V467" s="7">
        <v>5.0</v>
      </c>
      <c r="W467" s="7">
        <v>6.0</v>
      </c>
    </row>
    <row r="468">
      <c r="A468" s="3">
        <v>46243.576006944444</v>
      </c>
      <c r="B468" s="1" t="s">
        <v>982</v>
      </c>
      <c r="C468" s="1" t="s">
        <v>526</v>
      </c>
      <c r="D468" s="1">
        <v>5.0</v>
      </c>
      <c r="E468" s="1" t="s">
        <v>184</v>
      </c>
      <c r="F468" s="4">
        <v>3.0</v>
      </c>
      <c r="G468" s="4">
        <v>2.0</v>
      </c>
      <c r="H468" s="4">
        <v>1.0</v>
      </c>
      <c r="I468" s="4">
        <v>0.0</v>
      </c>
      <c r="J468" s="1">
        <v>6.0</v>
      </c>
      <c r="K468" s="1">
        <v>-1.0</v>
      </c>
      <c r="L468" s="1">
        <v>1.0</v>
      </c>
      <c r="M468" s="1">
        <v>2.0</v>
      </c>
      <c r="N468" s="1">
        <v>2.0</v>
      </c>
      <c r="O468" s="1">
        <v>2.0</v>
      </c>
      <c r="P468" s="1">
        <v>1.0</v>
      </c>
      <c r="Q468" s="1"/>
      <c r="R468" s="1"/>
      <c r="S468" s="1">
        <v>97.0</v>
      </c>
      <c r="T468" s="1" t="s">
        <v>34</v>
      </c>
      <c r="U468" s="7">
        <v>3.0</v>
      </c>
      <c r="V468" s="7">
        <v>4.0</v>
      </c>
      <c r="W468" s="7">
        <v>7.0</v>
      </c>
    </row>
    <row r="469">
      <c r="A469" s="3">
        <v>46243.585914351854</v>
      </c>
      <c r="B469" s="1" t="s">
        <v>985</v>
      </c>
      <c r="C469" s="1" t="s">
        <v>48</v>
      </c>
      <c r="D469" s="1">
        <v>5.0</v>
      </c>
      <c r="E469" s="1" t="s">
        <v>49</v>
      </c>
      <c r="F469" s="4">
        <v>1.0</v>
      </c>
      <c r="G469" s="4">
        <v>2.0</v>
      </c>
      <c r="H469" s="4">
        <v>3.0</v>
      </c>
      <c r="I469" s="4">
        <v>0.0</v>
      </c>
      <c r="J469" s="1">
        <v>5.0</v>
      </c>
      <c r="K469" s="1">
        <v>-1.0</v>
      </c>
      <c r="L469" s="1">
        <v>1.0</v>
      </c>
      <c r="M469" s="1">
        <v>2.0</v>
      </c>
      <c r="N469" s="1">
        <v>3.0</v>
      </c>
      <c r="O469" s="1">
        <v>2.0</v>
      </c>
      <c r="P469" s="1">
        <v>2.0</v>
      </c>
      <c r="Q469" s="1"/>
      <c r="R469" s="1"/>
      <c r="S469" s="1">
        <v>67.0</v>
      </c>
      <c r="T469" s="1" t="s">
        <v>28</v>
      </c>
      <c r="U469" s="7">
        <v>4.0</v>
      </c>
      <c r="V469" s="7">
        <v>5.0</v>
      </c>
      <c r="W469" s="7">
        <v>7.0</v>
      </c>
    </row>
    <row r="470">
      <c r="A470" s="3">
        <v>46243.58974537037</v>
      </c>
      <c r="B470" s="1" t="s">
        <v>986</v>
      </c>
      <c r="C470" s="1" t="s">
        <v>124</v>
      </c>
      <c r="D470" s="1">
        <v>5.0</v>
      </c>
      <c r="E470" s="1" t="s">
        <v>85</v>
      </c>
      <c r="F470" s="4">
        <v>0.0</v>
      </c>
      <c r="G470" s="4">
        <v>5.0</v>
      </c>
      <c r="H470" s="4">
        <v>1.0</v>
      </c>
      <c r="I470" s="4">
        <v>0.0</v>
      </c>
      <c r="J470" s="1">
        <v>6.0</v>
      </c>
      <c r="K470" s="1">
        <v>2.0</v>
      </c>
      <c r="L470" s="1">
        <v>1.0</v>
      </c>
      <c r="M470" s="1">
        <v>1.0</v>
      </c>
      <c r="N470" s="1">
        <v>2.0</v>
      </c>
      <c r="O470" s="1">
        <v>2.0</v>
      </c>
      <c r="P470" s="1">
        <v>2.0</v>
      </c>
      <c r="Q470" s="1" t="s">
        <v>987</v>
      </c>
      <c r="R470" s="1"/>
      <c r="S470" s="1">
        <v>208.0</v>
      </c>
      <c r="T470" s="1" t="s">
        <v>34</v>
      </c>
      <c r="U470" s="7">
        <v>3.0</v>
      </c>
      <c r="V470" s="7">
        <v>4.0</v>
      </c>
      <c r="W470" s="7">
        <v>7.0</v>
      </c>
    </row>
    <row r="471">
      <c r="A471" s="3">
        <v>46243.61924768519</v>
      </c>
      <c r="B471" s="1" t="s">
        <v>988</v>
      </c>
      <c r="C471" s="1" t="s">
        <v>254</v>
      </c>
      <c r="D471" s="1">
        <v>5.0</v>
      </c>
      <c r="E471" s="1" t="s">
        <v>192</v>
      </c>
      <c r="F471" s="4">
        <v>1.0</v>
      </c>
      <c r="G471" s="4">
        <v>1.0</v>
      </c>
      <c r="H471" s="4">
        <v>4.0</v>
      </c>
      <c r="I471" s="4">
        <v>0.0</v>
      </c>
      <c r="J471" s="1">
        <v>3.0</v>
      </c>
      <c r="K471" s="1">
        <v>-1.0</v>
      </c>
      <c r="L471" s="1">
        <v>1.0</v>
      </c>
      <c r="M471" s="1">
        <v>3.0</v>
      </c>
      <c r="N471" s="1">
        <v>2.0</v>
      </c>
      <c r="O471" s="1">
        <v>1.0</v>
      </c>
      <c r="P471" s="1">
        <v>2.0</v>
      </c>
      <c r="Q471" s="1" t="s">
        <v>989</v>
      </c>
      <c r="R471" s="1" t="s">
        <v>990</v>
      </c>
      <c r="S471" s="1">
        <v>253.0</v>
      </c>
      <c r="T471" s="1" t="s">
        <v>28</v>
      </c>
      <c r="U471" s="7">
        <v>5.0</v>
      </c>
      <c r="V471" s="7">
        <v>3.0</v>
      </c>
      <c r="W471" s="7">
        <v>10.0</v>
      </c>
    </row>
    <row r="472">
      <c r="A472" s="3">
        <v>46243.634375</v>
      </c>
      <c r="B472" s="1" t="s">
        <v>992</v>
      </c>
      <c r="C472" s="1" t="s">
        <v>114</v>
      </c>
      <c r="D472" s="1">
        <v>5.0</v>
      </c>
      <c r="E472" s="1" t="s">
        <v>85</v>
      </c>
      <c r="F472" s="4">
        <v>1.0</v>
      </c>
      <c r="G472" s="4">
        <v>2.0</v>
      </c>
      <c r="H472" s="4">
        <v>1.0</v>
      </c>
      <c r="I472" s="4">
        <v>2.0</v>
      </c>
      <c r="J472" s="1">
        <v>5.0</v>
      </c>
      <c r="K472" s="1">
        <v>-1.0</v>
      </c>
      <c r="L472" s="1">
        <v>1.0</v>
      </c>
      <c r="M472" s="1">
        <v>2.0</v>
      </c>
      <c r="N472" s="1">
        <v>2.0</v>
      </c>
      <c r="O472" s="1">
        <v>2.0</v>
      </c>
      <c r="P472" s="1">
        <v>2.0</v>
      </c>
      <c r="Q472" s="1"/>
      <c r="R472" s="1"/>
      <c r="S472" s="1">
        <v>172.0</v>
      </c>
      <c r="T472" s="1" t="s">
        <v>28</v>
      </c>
      <c r="U472" s="7">
        <v>4.0</v>
      </c>
      <c r="V472" s="7">
        <v>4.0</v>
      </c>
      <c r="W472" s="7">
        <v>8.0</v>
      </c>
    </row>
    <row r="473">
      <c r="A473" s="3">
        <v>46243.67538194444</v>
      </c>
      <c r="B473" s="1" t="s">
        <v>993</v>
      </c>
      <c r="C473" s="1" t="s">
        <v>994</v>
      </c>
      <c r="D473" s="1">
        <v>5.0</v>
      </c>
      <c r="E473" s="1" t="s">
        <v>184</v>
      </c>
      <c r="F473" s="4">
        <v>1.0</v>
      </c>
      <c r="G473" s="4">
        <v>1.0</v>
      </c>
      <c r="H473" s="4">
        <v>2.0</v>
      </c>
      <c r="I473" s="4">
        <v>2.0</v>
      </c>
      <c r="J473" s="1">
        <v>4.0</v>
      </c>
      <c r="K473" s="1">
        <v>-3.0</v>
      </c>
      <c r="L473" s="1">
        <v>-1.0</v>
      </c>
      <c r="M473" s="1">
        <v>4.0</v>
      </c>
      <c r="N473" s="1">
        <v>1.0</v>
      </c>
      <c r="O473" s="1">
        <v>1.0</v>
      </c>
      <c r="P473" s="1">
        <v>4.0</v>
      </c>
      <c r="Q473" s="1" t="s">
        <v>995</v>
      </c>
      <c r="R473" s="1"/>
      <c r="S473" s="1">
        <v>101.0</v>
      </c>
      <c r="T473" s="1" t="s">
        <v>28</v>
      </c>
      <c r="U473" s="7">
        <v>8.0</v>
      </c>
      <c r="V473" s="7">
        <v>2.0</v>
      </c>
      <c r="W473" s="7">
        <v>14.0</v>
      </c>
    </row>
    <row r="474">
      <c r="A474" s="3">
        <v>46243.70943287037</v>
      </c>
      <c r="B474" s="1" t="s">
        <v>996</v>
      </c>
      <c r="C474" s="1" t="s">
        <v>128</v>
      </c>
      <c r="D474" s="1">
        <v>5.0</v>
      </c>
      <c r="E474" s="1" t="s">
        <v>49</v>
      </c>
      <c r="F474" s="4">
        <v>2.0</v>
      </c>
      <c r="G474" s="4">
        <v>2.0</v>
      </c>
      <c r="H474" s="4">
        <v>2.0</v>
      </c>
      <c r="I474" s="4">
        <v>0.0</v>
      </c>
      <c r="J474" s="1">
        <v>7.0</v>
      </c>
      <c r="K474" s="1">
        <v>1.0</v>
      </c>
      <c r="L474" s="1">
        <v>-1.0</v>
      </c>
      <c r="M474" s="1">
        <v>2.0</v>
      </c>
      <c r="N474" s="1">
        <v>3.0</v>
      </c>
      <c r="O474" s="1">
        <v>3.0</v>
      </c>
      <c r="P474" s="1">
        <v>1.0</v>
      </c>
      <c r="Q474" s="1"/>
      <c r="R474" s="1"/>
      <c r="S474" s="1">
        <v>59.0</v>
      </c>
      <c r="T474" s="1" t="s">
        <v>28</v>
      </c>
      <c r="U474" s="7">
        <v>3.0</v>
      </c>
      <c r="V474" s="7">
        <v>6.0</v>
      </c>
      <c r="W474" s="7">
        <v>5.0</v>
      </c>
    </row>
    <row r="475">
      <c r="A475" s="3">
        <v>46243.73074074074</v>
      </c>
      <c r="B475" s="1" t="s">
        <v>998</v>
      </c>
      <c r="C475" s="1" t="s">
        <v>30</v>
      </c>
      <c r="D475" s="1">
        <v>5.0</v>
      </c>
      <c r="E475" s="1" t="s">
        <v>31</v>
      </c>
      <c r="F475" s="4">
        <v>2.0</v>
      </c>
      <c r="G475" s="4">
        <v>2.0</v>
      </c>
      <c r="H475" s="4">
        <v>2.0</v>
      </c>
      <c r="I475" s="4">
        <v>0.0</v>
      </c>
      <c r="J475" s="1">
        <v>3.0</v>
      </c>
      <c r="K475" s="1">
        <v>-1.0</v>
      </c>
      <c r="L475" s="1">
        <v>1.0</v>
      </c>
      <c r="M475" s="1">
        <v>2.0</v>
      </c>
      <c r="N475" s="1">
        <v>3.0</v>
      </c>
      <c r="O475" s="1">
        <v>3.0</v>
      </c>
      <c r="P475" s="1">
        <v>2.0</v>
      </c>
      <c r="Q475" s="1" t="s">
        <v>1000</v>
      </c>
      <c r="R475" s="1"/>
      <c r="S475" s="1">
        <v>144.0</v>
      </c>
      <c r="T475" s="1" t="s">
        <v>34</v>
      </c>
      <c r="U475" s="7">
        <v>4.0</v>
      </c>
      <c r="V475" s="7">
        <v>6.0</v>
      </c>
      <c r="W475" s="7">
        <v>6.0</v>
      </c>
    </row>
    <row r="476">
      <c r="A476" s="3">
        <v>46243.85732638889</v>
      </c>
      <c r="B476" s="1" t="s">
        <v>1001</v>
      </c>
      <c r="C476" s="1" t="s">
        <v>76</v>
      </c>
      <c r="D476" s="1">
        <v>5.0</v>
      </c>
      <c r="E476" s="1" t="s">
        <v>52</v>
      </c>
      <c r="F476" s="4">
        <v>1.0</v>
      </c>
      <c r="G476" s="4">
        <v>3.0</v>
      </c>
      <c r="H476" s="4">
        <v>2.0</v>
      </c>
      <c r="I476" s="4">
        <v>0.0</v>
      </c>
      <c r="J476" s="1">
        <v>6.0</v>
      </c>
      <c r="K476" s="1">
        <v>1.0</v>
      </c>
      <c r="L476" s="1">
        <v>1.0</v>
      </c>
      <c r="M476" s="1">
        <v>1.0</v>
      </c>
      <c r="N476" s="1">
        <v>3.0</v>
      </c>
      <c r="O476" s="1">
        <v>3.0</v>
      </c>
      <c r="P476" s="1">
        <v>1.0</v>
      </c>
      <c r="Q476" s="1" t="s">
        <v>1003</v>
      </c>
      <c r="R476" s="1"/>
      <c r="S476" s="1">
        <v>335.0</v>
      </c>
      <c r="T476" s="1" t="s">
        <v>34</v>
      </c>
      <c r="U476" s="7">
        <v>2.0</v>
      </c>
      <c r="V476" s="7">
        <v>6.0</v>
      </c>
      <c r="W476" s="7">
        <v>4.0</v>
      </c>
    </row>
    <row r="477">
      <c r="A477" s="3">
        <v>46243.91792824074</v>
      </c>
      <c r="B477" s="1" t="s">
        <v>1004</v>
      </c>
      <c r="C477" s="1" t="s">
        <v>217</v>
      </c>
      <c r="D477" s="1">
        <v>5.0</v>
      </c>
      <c r="E477" s="1" t="s">
        <v>184</v>
      </c>
      <c r="F477" s="4">
        <v>2.0</v>
      </c>
      <c r="G477" s="4">
        <v>1.0</v>
      </c>
      <c r="H477" s="4">
        <v>3.0</v>
      </c>
      <c r="I477" s="4">
        <v>0.0</v>
      </c>
      <c r="J477" s="1">
        <v>7.0</v>
      </c>
      <c r="K477" s="1">
        <v>-2.0</v>
      </c>
      <c r="L477" s="1">
        <v>-2.0</v>
      </c>
      <c r="M477" s="1">
        <v>1.0</v>
      </c>
      <c r="N477" s="1">
        <v>3.0</v>
      </c>
      <c r="O477" s="1">
        <v>3.0</v>
      </c>
      <c r="P477" s="1">
        <v>2.0</v>
      </c>
      <c r="Q477" s="1" t="s">
        <v>1006</v>
      </c>
      <c r="R477" s="1"/>
      <c r="S477" s="1">
        <v>117.0</v>
      </c>
      <c r="T477" s="1" t="s">
        <v>28</v>
      </c>
      <c r="U477" s="7">
        <v>3.0</v>
      </c>
      <c r="V477" s="7">
        <v>6.0</v>
      </c>
      <c r="W477" s="7">
        <v>5.0</v>
      </c>
    </row>
    <row r="478">
      <c r="A478" s="3">
        <v>46243.94930555556</v>
      </c>
      <c r="B478" s="1" t="s">
        <v>1007</v>
      </c>
      <c r="C478" s="1" t="s">
        <v>233</v>
      </c>
      <c r="D478" s="1">
        <v>5.0</v>
      </c>
      <c r="E478" s="1" t="s">
        <v>85</v>
      </c>
      <c r="F478" s="4">
        <v>3.0</v>
      </c>
      <c r="G478" s="4">
        <v>2.0</v>
      </c>
      <c r="H478" s="4">
        <v>1.0</v>
      </c>
      <c r="I478" s="4">
        <v>0.0</v>
      </c>
      <c r="J478" s="1">
        <v>4.0</v>
      </c>
      <c r="K478" s="1">
        <v>-1.0</v>
      </c>
      <c r="L478" s="1">
        <v>0.0</v>
      </c>
      <c r="M478" s="1">
        <v>2.0</v>
      </c>
      <c r="N478" s="1">
        <v>2.0</v>
      </c>
      <c r="O478" s="1">
        <v>1.0</v>
      </c>
      <c r="P478" s="1">
        <v>2.0</v>
      </c>
      <c r="Q478" s="1" t="s">
        <v>1009</v>
      </c>
      <c r="R478" s="1" t="s">
        <v>1010</v>
      </c>
      <c r="S478" s="1">
        <v>496.0</v>
      </c>
      <c r="T478" s="1" t="s">
        <v>28</v>
      </c>
      <c r="U478" s="7">
        <v>4.0</v>
      </c>
      <c r="V478" s="7">
        <v>3.0</v>
      </c>
      <c r="W478" s="7">
        <v>9.0</v>
      </c>
    </row>
    <row r="479">
      <c r="A479" s="3">
        <v>46244.28126157408</v>
      </c>
      <c r="B479" s="1" t="s">
        <v>1013</v>
      </c>
      <c r="C479" s="1" t="s">
        <v>249</v>
      </c>
      <c r="D479" s="1">
        <v>5.0</v>
      </c>
      <c r="E479" s="1" t="s">
        <v>184</v>
      </c>
      <c r="F479" s="4">
        <v>1.0</v>
      </c>
      <c r="G479" s="4">
        <v>2.0</v>
      </c>
      <c r="H479" s="4">
        <v>3.0</v>
      </c>
      <c r="I479" s="4">
        <v>0.0</v>
      </c>
      <c r="J479" s="1">
        <v>6.0</v>
      </c>
      <c r="K479" s="1">
        <v>1.0</v>
      </c>
      <c r="L479" s="1">
        <v>0.0</v>
      </c>
      <c r="M479" s="1">
        <v>0.0</v>
      </c>
      <c r="N479" s="1">
        <v>4.0</v>
      </c>
      <c r="O479" s="1">
        <v>3.0</v>
      </c>
      <c r="P479" s="1">
        <v>1.0</v>
      </c>
      <c r="Q479" s="1"/>
      <c r="R479" s="1"/>
      <c r="S479" s="1">
        <v>98.0</v>
      </c>
      <c r="T479" s="1" t="s">
        <v>28</v>
      </c>
      <c r="U479" s="7">
        <v>1.0</v>
      </c>
      <c r="V479" s="7">
        <v>7.0</v>
      </c>
      <c r="W479" s="7">
        <v>2.0</v>
      </c>
    </row>
    <row r="480">
      <c r="A480" s="3">
        <v>46244.306296296294</v>
      </c>
      <c r="B480" s="1" t="s">
        <v>1014</v>
      </c>
      <c r="C480" s="1" t="s">
        <v>413</v>
      </c>
      <c r="D480" s="1">
        <v>5.0</v>
      </c>
      <c r="E480" s="1" t="s">
        <v>184</v>
      </c>
      <c r="F480" s="4">
        <v>2.0</v>
      </c>
      <c r="G480" s="4">
        <v>1.0</v>
      </c>
      <c r="H480" s="4">
        <v>3.0</v>
      </c>
      <c r="I480" s="4">
        <v>0.0</v>
      </c>
      <c r="J480" s="1">
        <v>3.0</v>
      </c>
      <c r="K480" s="1">
        <v>-2.0</v>
      </c>
      <c r="L480" s="1">
        <v>0.0</v>
      </c>
      <c r="M480" s="1">
        <v>2.0</v>
      </c>
      <c r="N480" s="1">
        <v>3.0</v>
      </c>
      <c r="O480" s="1">
        <v>2.0</v>
      </c>
      <c r="P480" s="1">
        <v>2.0</v>
      </c>
      <c r="Q480" s="1" t="s">
        <v>1015</v>
      </c>
      <c r="R480" s="1"/>
      <c r="S480" s="1">
        <v>341.0</v>
      </c>
      <c r="T480" s="1" t="s">
        <v>34</v>
      </c>
      <c r="U480" s="7">
        <v>4.0</v>
      </c>
      <c r="V480" s="7">
        <v>5.0</v>
      </c>
      <c r="W480" s="7">
        <v>7.0</v>
      </c>
    </row>
    <row r="481">
      <c r="A481" s="3">
        <v>46244.336875</v>
      </c>
      <c r="B481" s="1" t="s">
        <v>1016</v>
      </c>
      <c r="C481" s="1" t="s">
        <v>306</v>
      </c>
      <c r="D481" s="1">
        <v>5.0</v>
      </c>
      <c r="E481" s="1" t="s">
        <v>192</v>
      </c>
      <c r="F481" s="4">
        <v>2.0</v>
      </c>
      <c r="G481" s="4">
        <v>2.0</v>
      </c>
      <c r="H481" s="4">
        <v>2.0</v>
      </c>
      <c r="I481" s="4">
        <v>0.0</v>
      </c>
      <c r="J481" s="1">
        <v>6.0</v>
      </c>
      <c r="K481" s="1">
        <v>1.0</v>
      </c>
      <c r="L481" s="1">
        <v>0.0</v>
      </c>
      <c r="M481" s="1">
        <v>3.0</v>
      </c>
      <c r="N481" s="1">
        <v>2.0</v>
      </c>
      <c r="O481" s="1">
        <v>2.0</v>
      </c>
      <c r="P481" s="1">
        <v>2.0</v>
      </c>
      <c r="Q481" s="1"/>
      <c r="R481" s="1"/>
      <c r="S481" s="1">
        <v>91.0</v>
      </c>
      <c r="T481" s="1" t="s">
        <v>28</v>
      </c>
      <c r="U481" s="7">
        <v>5.0</v>
      </c>
      <c r="V481" s="7">
        <v>4.0</v>
      </c>
      <c r="W481" s="7">
        <v>9.0</v>
      </c>
    </row>
    <row r="482">
      <c r="A482" s="3">
        <v>46244.372083333335</v>
      </c>
      <c r="B482" s="1" t="s">
        <v>1018</v>
      </c>
      <c r="C482" s="1" t="s">
        <v>446</v>
      </c>
      <c r="D482" s="1">
        <v>5.0</v>
      </c>
      <c r="E482" s="1" t="s">
        <v>26</v>
      </c>
      <c r="F482" s="4">
        <v>2.0</v>
      </c>
      <c r="G482" s="4">
        <v>1.0</v>
      </c>
      <c r="H482" s="4">
        <v>3.0</v>
      </c>
      <c r="I482" s="4">
        <v>0.0</v>
      </c>
      <c r="J482" s="1">
        <v>4.0</v>
      </c>
      <c r="K482" s="1">
        <v>0.0</v>
      </c>
      <c r="L482" s="1">
        <v>1.0</v>
      </c>
      <c r="M482" s="1">
        <v>3.0</v>
      </c>
      <c r="N482" s="1">
        <v>2.0</v>
      </c>
      <c r="O482" s="1">
        <v>3.0</v>
      </c>
      <c r="P482" s="1">
        <v>1.0</v>
      </c>
      <c r="Q482" s="1"/>
      <c r="R482" s="1"/>
      <c r="S482" s="1">
        <v>77.0</v>
      </c>
      <c r="T482" s="1" t="s">
        <v>28</v>
      </c>
      <c r="U482" s="7">
        <v>4.0</v>
      </c>
      <c r="V482" s="7">
        <v>5.0</v>
      </c>
      <c r="W482" s="7">
        <v>7.0</v>
      </c>
    </row>
    <row r="483">
      <c r="A483" s="3">
        <v>46244.407905092594</v>
      </c>
      <c r="B483" s="1" t="s">
        <v>1019</v>
      </c>
      <c r="C483" s="1" t="s">
        <v>372</v>
      </c>
      <c r="D483" s="1">
        <v>5.0</v>
      </c>
      <c r="E483" s="1" t="s">
        <v>184</v>
      </c>
      <c r="F483" s="4">
        <v>2.0</v>
      </c>
      <c r="G483" s="4">
        <v>2.0</v>
      </c>
      <c r="H483" s="4">
        <v>2.0</v>
      </c>
      <c r="I483" s="4">
        <v>0.0</v>
      </c>
      <c r="J483" s="1">
        <v>3.0</v>
      </c>
      <c r="K483" s="1">
        <v>-1.0</v>
      </c>
      <c r="L483" s="1">
        <v>3.0</v>
      </c>
      <c r="M483" s="1">
        <v>2.0</v>
      </c>
      <c r="N483" s="1">
        <v>2.0</v>
      </c>
      <c r="O483" s="1">
        <v>3.0</v>
      </c>
      <c r="P483" s="1">
        <v>1.0</v>
      </c>
      <c r="Q483" s="1"/>
      <c r="R483" s="1"/>
      <c r="S483" s="1">
        <v>88.0</v>
      </c>
      <c r="T483" s="1" t="s">
        <v>34</v>
      </c>
      <c r="U483" s="7">
        <v>3.0</v>
      </c>
      <c r="V483" s="7">
        <v>5.0</v>
      </c>
      <c r="W483" s="7">
        <v>6.0</v>
      </c>
    </row>
    <row r="484">
      <c r="A484" s="3">
        <v>46244.40803240741</v>
      </c>
      <c r="B484" s="1" t="s">
        <v>1020</v>
      </c>
      <c r="C484" s="1" t="s">
        <v>356</v>
      </c>
      <c r="D484" s="1">
        <v>5.0</v>
      </c>
      <c r="E484" s="1" t="s">
        <v>184</v>
      </c>
      <c r="F484" s="4">
        <v>0.0</v>
      </c>
      <c r="G484" s="4">
        <v>3.0</v>
      </c>
      <c r="H484" s="4">
        <v>2.0</v>
      </c>
      <c r="I484" s="4">
        <v>1.0</v>
      </c>
      <c r="J484" s="1">
        <v>3.0</v>
      </c>
      <c r="K484" s="1">
        <v>-1.0</v>
      </c>
      <c r="L484" s="1">
        <v>-2.0</v>
      </c>
      <c r="M484" s="1">
        <v>1.0</v>
      </c>
      <c r="N484" s="1">
        <v>1.0</v>
      </c>
      <c r="O484" s="1">
        <v>2.0</v>
      </c>
      <c r="P484" s="1">
        <v>1.0</v>
      </c>
      <c r="Q484" s="1"/>
      <c r="R484" s="1"/>
      <c r="S484" s="1">
        <v>65.0</v>
      </c>
      <c r="T484" s="1" t="s">
        <v>34</v>
      </c>
      <c r="U484" s="7">
        <v>2.0</v>
      </c>
      <c r="V484" s="7">
        <v>3.0</v>
      </c>
      <c r="W484" s="7">
        <v>7.0</v>
      </c>
    </row>
    <row r="485">
      <c r="A485" s="3">
        <v>46244.42988425926</v>
      </c>
      <c r="B485" s="1" t="s">
        <v>1021</v>
      </c>
      <c r="C485" s="1" t="s">
        <v>286</v>
      </c>
      <c r="D485" s="1">
        <v>5.0</v>
      </c>
      <c r="E485" s="1" t="s">
        <v>184</v>
      </c>
      <c r="F485" s="4">
        <v>0.0</v>
      </c>
      <c r="G485" s="4">
        <v>3.0</v>
      </c>
      <c r="H485" s="4">
        <v>3.0</v>
      </c>
      <c r="I485" s="4">
        <v>0.0</v>
      </c>
      <c r="J485" s="1">
        <v>5.0</v>
      </c>
      <c r="K485" s="1">
        <v>1.0</v>
      </c>
      <c r="L485" s="1">
        <v>0.0</v>
      </c>
      <c r="M485" s="1">
        <v>2.0</v>
      </c>
      <c r="N485" s="1">
        <v>1.0</v>
      </c>
      <c r="O485" s="1">
        <v>3.0</v>
      </c>
      <c r="P485" s="1">
        <v>1.0</v>
      </c>
      <c r="Q485" s="1" t="s">
        <v>1022</v>
      </c>
      <c r="R485" s="1"/>
      <c r="S485" s="1">
        <v>142.0</v>
      </c>
      <c r="T485" s="1" t="s">
        <v>34</v>
      </c>
      <c r="U485" s="7">
        <v>3.0</v>
      </c>
      <c r="V485" s="7">
        <v>4.0</v>
      </c>
      <c r="W485" s="7">
        <v>7.0</v>
      </c>
    </row>
    <row r="486">
      <c r="A486" s="3">
        <v>46244.445752314816</v>
      </c>
      <c r="B486" s="1" t="s">
        <v>1023</v>
      </c>
      <c r="C486" s="1" t="s">
        <v>211</v>
      </c>
      <c r="D486" s="1">
        <v>5.0</v>
      </c>
      <c r="E486" s="1" t="s">
        <v>184</v>
      </c>
      <c r="F486" s="4">
        <v>1.0</v>
      </c>
      <c r="G486" s="4">
        <v>3.0</v>
      </c>
      <c r="H486" s="4">
        <v>2.0</v>
      </c>
      <c r="I486" s="4">
        <v>0.0</v>
      </c>
      <c r="J486" s="1">
        <v>5.0</v>
      </c>
      <c r="K486" s="1">
        <v>0.0</v>
      </c>
      <c r="L486" s="1">
        <v>1.0</v>
      </c>
      <c r="M486" s="1">
        <v>0.0</v>
      </c>
      <c r="N486" s="1">
        <v>4.0</v>
      </c>
      <c r="O486" s="1">
        <v>3.0</v>
      </c>
      <c r="P486" s="1">
        <v>0.0</v>
      </c>
      <c r="Q486" s="1" t="s">
        <v>1024</v>
      </c>
      <c r="R486" s="1"/>
      <c r="S486" s="1">
        <v>159.0</v>
      </c>
      <c r="T486" s="1" t="s">
        <v>28</v>
      </c>
      <c r="U486" s="7">
        <v>0.0</v>
      </c>
      <c r="V486" s="7">
        <v>7.0</v>
      </c>
      <c r="W486" s="7">
        <v>1.0</v>
      </c>
    </row>
    <row r="487">
      <c r="A487" s="3">
        <v>46244.56329861111</v>
      </c>
      <c r="B487" s="1" t="s">
        <v>1025</v>
      </c>
      <c r="C487" s="1" t="s">
        <v>237</v>
      </c>
      <c r="D487" s="1">
        <v>5.0</v>
      </c>
      <c r="E487" s="1" t="s">
        <v>184</v>
      </c>
      <c r="F487" s="4">
        <v>1.0</v>
      </c>
      <c r="G487" s="4">
        <v>2.0</v>
      </c>
      <c r="H487" s="4">
        <v>3.0</v>
      </c>
      <c r="I487" s="4">
        <v>0.0</v>
      </c>
      <c r="J487" s="1">
        <v>5.0</v>
      </c>
      <c r="K487" s="1">
        <v>1.0</v>
      </c>
      <c r="L487" s="1">
        <v>-1.0</v>
      </c>
      <c r="M487" s="1">
        <v>3.0</v>
      </c>
      <c r="N487" s="1">
        <v>2.0</v>
      </c>
      <c r="O487" s="1">
        <v>2.0</v>
      </c>
      <c r="P487" s="1">
        <v>3.0</v>
      </c>
      <c r="Q487" s="1" t="s">
        <v>1027</v>
      </c>
      <c r="R487" s="1"/>
      <c r="S487" s="1">
        <v>109.0</v>
      </c>
      <c r="T487" s="1" t="s">
        <v>34</v>
      </c>
      <c r="U487" s="7">
        <v>6.0</v>
      </c>
      <c r="V487" s="7">
        <v>4.0</v>
      </c>
      <c r="W487" s="7">
        <v>10.0</v>
      </c>
    </row>
    <row r="488">
      <c r="A488" s="3">
        <v>46244.58752314815</v>
      </c>
      <c r="B488" s="1" t="s">
        <v>1028</v>
      </c>
      <c r="C488" s="1" t="s">
        <v>659</v>
      </c>
      <c r="D488" s="1">
        <v>5.0</v>
      </c>
      <c r="E488" s="1" t="s">
        <v>102</v>
      </c>
      <c r="F488" s="4">
        <v>3.0</v>
      </c>
      <c r="G488" s="4">
        <v>1.0</v>
      </c>
      <c r="H488" s="4">
        <v>2.0</v>
      </c>
      <c r="I488" s="4">
        <v>0.0</v>
      </c>
      <c r="J488" s="1">
        <v>5.0</v>
      </c>
      <c r="K488" s="1">
        <v>-1.0</v>
      </c>
      <c r="L488" s="1">
        <v>1.0</v>
      </c>
      <c r="M488" s="1">
        <v>2.0</v>
      </c>
      <c r="N488" s="1">
        <v>3.0</v>
      </c>
      <c r="O488" s="1">
        <v>2.0</v>
      </c>
      <c r="P488" s="1">
        <v>2.0</v>
      </c>
      <c r="Q488" s="1" t="s">
        <v>1029</v>
      </c>
      <c r="R488" s="1"/>
      <c r="S488" s="1">
        <v>157.0</v>
      </c>
      <c r="T488" s="1" t="s">
        <v>34</v>
      </c>
      <c r="U488" s="7">
        <v>4.0</v>
      </c>
      <c r="V488" s="7">
        <v>5.0</v>
      </c>
      <c r="W488" s="7">
        <v>7.0</v>
      </c>
    </row>
    <row r="489">
      <c r="A489" s="3">
        <v>46244.64092592592</v>
      </c>
      <c r="B489" s="1" t="s">
        <v>1030</v>
      </c>
      <c r="C489" s="1" t="s">
        <v>295</v>
      </c>
      <c r="D489" s="1">
        <v>5.0</v>
      </c>
      <c r="E489" s="1" t="s">
        <v>192</v>
      </c>
      <c r="F489" s="4">
        <v>3.0</v>
      </c>
      <c r="G489" s="4">
        <v>2.0</v>
      </c>
      <c r="H489" s="4">
        <v>1.0</v>
      </c>
      <c r="I489" s="4">
        <v>0.0</v>
      </c>
      <c r="J489" s="1">
        <v>6.0</v>
      </c>
      <c r="K489" s="1">
        <v>2.0</v>
      </c>
      <c r="L489" s="1">
        <v>2.0</v>
      </c>
      <c r="M489" s="1">
        <v>3.0</v>
      </c>
      <c r="N489" s="1">
        <v>3.0</v>
      </c>
      <c r="O489" s="1">
        <v>3.0</v>
      </c>
      <c r="P489" s="1">
        <v>2.0</v>
      </c>
      <c r="Q489" s="1"/>
      <c r="R489" s="1"/>
      <c r="S489" s="1">
        <v>55.0</v>
      </c>
      <c r="T489" s="1" t="s">
        <v>34</v>
      </c>
      <c r="U489" s="7">
        <v>5.0</v>
      </c>
      <c r="V489" s="7">
        <v>6.0</v>
      </c>
      <c r="W489" s="7">
        <v>7.0</v>
      </c>
    </row>
    <row r="490">
      <c r="A490" s="3">
        <v>46244.66983796296</v>
      </c>
      <c r="B490" s="1" t="s">
        <v>1033</v>
      </c>
      <c r="C490" s="1" t="s">
        <v>474</v>
      </c>
      <c r="D490" s="1">
        <v>5.0</v>
      </c>
      <c r="E490" s="1" t="s">
        <v>184</v>
      </c>
      <c r="F490" s="4">
        <v>0.0</v>
      </c>
      <c r="G490" s="4">
        <v>0.0</v>
      </c>
      <c r="H490" s="4">
        <v>6.0</v>
      </c>
      <c r="I490" s="4">
        <v>0.0</v>
      </c>
      <c r="J490" s="1">
        <v>4.0</v>
      </c>
      <c r="K490" s="1">
        <v>0.0</v>
      </c>
      <c r="L490" s="1">
        <v>0.0</v>
      </c>
      <c r="M490" s="1">
        <v>2.0</v>
      </c>
      <c r="N490" s="1">
        <v>2.0</v>
      </c>
      <c r="O490" s="1">
        <v>2.0</v>
      </c>
      <c r="P490" s="1">
        <v>2.0</v>
      </c>
      <c r="Q490" s="1"/>
      <c r="R490" s="1"/>
      <c r="S490" s="1">
        <v>28.0</v>
      </c>
      <c r="T490" s="1" t="s">
        <v>34</v>
      </c>
      <c r="U490" s="7">
        <v>4.0</v>
      </c>
      <c r="V490" s="7">
        <v>4.0</v>
      </c>
      <c r="W490" s="7">
        <v>8.0</v>
      </c>
    </row>
    <row r="491">
      <c r="A491" s="3">
        <v>46244.73197916667</v>
      </c>
      <c r="B491" s="1" t="s">
        <v>1034</v>
      </c>
      <c r="C491" s="1" t="s">
        <v>274</v>
      </c>
      <c r="D491" s="1">
        <v>5.0</v>
      </c>
      <c r="E491" s="1" t="s">
        <v>192</v>
      </c>
      <c r="F491" s="4">
        <v>1.0</v>
      </c>
      <c r="G491" s="4">
        <v>3.0</v>
      </c>
      <c r="H491" s="4">
        <v>2.0</v>
      </c>
      <c r="I491" s="4">
        <v>0.0</v>
      </c>
      <c r="J491" s="1">
        <v>7.0</v>
      </c>
      <c r="K491" s="1">
        <v>-1.0</v>
      </c>
      <c r="L491" s="1">
        <v>2.0</v>
      </c>
      <c r="M491" s="1">
        <v>2.0</v>
      </c>
      <c r="N491" s="1">
        <v>2.0</v>
      </c>
      <c r="O491" s="1">
        <v>1.0</v>
      </c>
      <c r="P491" s="1">
        <v>1.0</v>
      </c>
      <c r="Q491" s="1" t="s">
        <v>1035</v>
      </c>
      <c r="R491" s="1" t="s">
        <v>1036</v>
      </c>
      <c r="S491" s="1">
        <v>1875.0</v>
      </c>
      <c r="T491" s="1" t="s">
        <v>34</v>
      </c>
      <c r="U491" s="7">
        <v>3.0</v>
      </c>
      <c r="V491" s="7">
        <v>3.0</v>
      </c>
      <c r="W491" s="7">
        <v>8.0</v>
      </c>
    </row>
    <row r="492">
      <c r="A492" s="3">
        <v>46244.75414351852</v>
      </c>
      <c r="B492" s="1" t="s">
        <v>1037</v>
      </c>
      <c r="C492" s="1" t="s">
        <v>171</v>
      </c>
      <c r="D492" s="1">
        <v>5.0</v>
      </c>
      <c r="E492" s="1" t="s">
        <v>90</v>
      </c>
      <c r="F492" s="4">
        <v>1.0</v>
      </c>
      <c r="G492" s="4">
        <v>3.0</v>
      </c>
      <c r="H492" s="4">
        <v>2.0</v>
      </c>
      <c r="I492" s="4">
        <v>0.0</v>
      </c>
      <c r="J492" s="1">
        <v>6.0</v>
      </c>
      <c r="K492" s="1">
        <v>1.0</v>
      </c>
      <c r="L492" s="1">
        <v>-1.0</v>
      </c>
      <c r="M492" s="1">
        <v>3.0</v>
      </c>
      <c r="N492" s="1">
        <v>3.0</v>
      </c>
      <c r="O492" s="1">
        <v>3.0</v>
      </c>
      <c r="P492" s="1">
        <v>1.0</v>
      </c>
      <c r="Q492" s="1"/>
      <c r="R492" s="1"/>
      <c r="S492" s="1">
        <v>58462.0</v>
      </c>
      <c r="T492" s="1" t="s">
        <v>34</v>
      </c>
      <c r="U492" s="7">
        <v>4.0</v>
      </c>
      <c r="V492" s="7">
        <v>6.0</v>
      </c>
      <c r="W492" s="7">
        <v>6.0</v>
      </c>
    </row>
    <row r="493">
      <c r="A493" s="3">
        <v>46244.79652777778</v>
      </c>
      <c r="B493" s="1" t="s">
        <v>1038</v>
      </c>
      <c r="C493" s="1" t="s">
        <v>384</v>
      </c>
      <c r="D493" s="1">
        <v>5.0</v>
      </c>
      <c r="E493" s="1" t="s">
        <v>184</v>
      </c>
      <c r="F493" s="4">
        <v>3.0</v>
      </c>
      <c r="G493" s="4">
        <v>0.0</v>
      </c>
      <c r="H493" s="4">
        <v>3.0</v>
      </c>
      <c r="I493" s="4">
        <v>0.0</v>
      </c>
      <c r="J493" s="1">
        <v>3.0</v>
      </c>
      <c r="K493" s="1">
        <v>-1.0</v>
      </c>
      <c r="L493" s="1">
        <v>-1.0</v>
      </c>
      <c r="M493" s="1">
        <v>2.0</v>
      </c>
      <c r="N493" s="1">
        <v>2.0</v>
      </c>
      <c r="O493" s="1">
        <v>2.0</v>
      </c>
      <c r="P493" s="1">
        <v>2.0</v>
      </c>
      <c r="Q493" s="1"/>
      <c r="R493" s="1"/>
      <c r="S493" s="1">
        <v>57.0</v>
      </c>
      <c r="T493" s="1" t="s">
        <v>34</v>
      </c>
      <c r="U493" s="7">
        <v>4.0</v>
      </c>
      <c r="V493" s="7">
        <v>4.0</v>
      </c>
      <c r="W493" s="7">
        <v>8.0</v>
      </c>
    </row>
    <row r="494">
      <c r="A494" s="3">
        <v>46244.80719907407</v>
      </c>
      <c r="B494" s="1" t="s">
        <v>1039</v>
      </c>
      <c r="C494" s="1" t="s">
        <v>175</v>
      </c>
      <c r="D494" s="1">
        <v>5.0</v>
      </c>
      <c r="E494" s="1" t="s">
        <v>90</v>
      </c>
      <c r="F494" s="4">
        <v>2.0</v>
      </c>
      <c r="G494" s="4">
        <v>1.0</v>
      </c>
      <c r="H494" s="4">
        <v>3.0</v>
      </c>
      <c r="I494" s="4">
        <v>0.0</v>
      </c>
      <c r="J494" s="1">
        <v>3.0</v>
      </c>
      <c r="K494" s="1">
        <v>2.0</v>
      </c>
      <c r="L494" s="1">
        <v>-1.0</v>
      </c>
      <c r="M494" s="1">
        <v>2.0</v>
      </c>
      <c r="N494" s="1">
        <v>2.0</v>
      </c>
      <c r="O494" s="1">
        <v>3.0</v>
      </c>
      <c r="P494" s="1">
        <v>3.0</v>
      </c>
      <c r="Q494" s="1"/>
      <c r="R494" s="1"/>
      <c r="S494" s="1">
        <v>248.0</v>
      </c>
      <c r="T494" s="1" t="s">
        <v>28</v>
      </c>
      <c r="U494" s="7">
        <v>5.0</v>
      </c>
      <c r="V494" s="7">
        <v>5.0</v>
      </c>
      <c r="W494" s="7">
        <v>8.0</v>
      </c>
    </row>
    <row r="495">
      <c r="A495" s="3">
        <v>46244.856203703705</v>
      </c>
      <c r="B495" s="1" t="s">
        <v>1040</v>
      </c>
      <c r="C495" s="1" t="s">
        <v>266</v>
      </c>
      <c r="D495" s="1">
        <v>5.0</v>
      </c>
      <c r="E495" s="1" t="s">
        <v>184</v>
      </c>
      <c r="F495" s="4">
        <v>1.0</v>
      </c>
      <c r="G495" s="4">
        <v>2.0</v>
      </c>
      <c r="H495" s="4">
        <v>3.0</v>
      </c>
      <c r="I495" s="4">
        <v>0.0</v>
      </c>
      <c r="J495" s="1">
        <v>6.0</v>
      </c>
      <c r="K495" s="1">
        <v>0.0</v>
      </c>
      <c r="L495" s="1">
        <v>-2.0</v>
      </c>
      <c r="M495" s="1">
        <v>0.0</v>
      </c>
      <c r="N495" s="1">
        <v>4.0</v>
      </c>
      <c r="O495" s="1">
        <v>3.0</v>
      </c>
      <c r="P495" s="1">
        <v>1.0</v>
      </c>
      <c r="Q495" s="1"/>
      <c r="R495" s="1"/>
      <c r="S495" s="1">
        <v>138.0</v>
      </c>
      <c r="T495" s="1" t="s">
        <v>34</v>
      </c>
      <c r="U495" s="7">
        <v>1.0</v>
      </c>
      <c r="V495" s="7">
        <v>7.0</v>
      </c>
      <c r="W495" s="7">
        <v>2.0</v>
      </c>
    </row>
    <row r="496">
      <c r="A496" s="3">
        <v>46244.896145833336</v>
      </c>
      <c r="B496" s="1" t="s">
        <v>1041</v>
      </c>
      <c r="C496" s="1" t="s">
        <v>149</v>
      </c>
      <c r="D496" s="1">
        <v>5.0</v>
      </c>
      <c r="E496" s="1" t="s">
        <v>52</v>
      </c>
      <c r="F496" s="4">
        <v>0.0</v>
      </c>
      <c r="G496" s="4">
        <v>0.0</v>
      </c>
      <c r="H496" s="4">
        <v>2.0</v>
      </c>
      <c r="I496" s="4">
        <v>4.0</v>
      </c>
      <c r="J496" s="1">
        <v>7.0</v>
      </c>
      <c r="K496" s="1">
        <v>1.0</v>
      </c>
      <c r="L496" s="1">
        <v>-3.0</v>
      </c>
      <c r="M496" s="1">
        <v>1.0</v>
      </c>
      <c r="N496" s="1">
        <v>4.0</v>
      </c>
      <c r="O496" s="1">
        <v>1.0</v>
      </c>
      <c r="P496" s="1">
        <v>1.0</v>
      </c>
      <c r="Q496" s="1"/>
      <c r="R496" s="1"/>
      <c r="S496" s="1">
        <v>70.0</v>
      </c>
      <c r="T496" s="1" t="s">
        <v>34</v>
      </c>
      <c r="U496" s="7">
        <v>2.0</v>
      </c>
      <c r="V496" s="7">
        <v>5.0</v>
      </c>
      <c r="W496" s="7">
        <v>5.0</v>
      </c>
    </row>
    <row r="497">
      <c r="A497" s="3">
        <v>46244.902337962965</v>
      </c>
      <c r="B497" s="1" t="s">
        <v>1042</v>
      </c>
      <c r="C497" s="1" t="s">
        <v>284</v>
      </c>
      <c r="D497" s="1">
        <v>5.0</v>
      </c>
      <c r="E497" s="1" t="s">
        <v>184</v>
      </c>
      <c r="F497" s="4">
        <v>1.0</v>
      </c>
      <c r="G497" s="4">
        <v>3.0</v>
      </c>
      <c r="H497" s="4">
        <v>2.0</v>
      </c>
      <c r="I497" s="4">
        <v>0.0</v>
      </c>
      <c r="J497" s="1">
        <v>5.0</v>
      </c>
      <c r="K497" s="1">
        <v>1.0</v>
      </c>
      <c r="L497" s="1">
        <v>2.0</v>
      </c>
      <c r="M497" s="1">
        <v>2.0</v>
      </c>
      <c r="N497" s="1">
        <v>2.0</v>
      </c>
      <c r="O497" s="1">
        <v>2.0</v>
      </c>
      <c r="P497" s="1">
        <v>2.0</v>
      </c>
      <c r="Q497" s="1"/>
      <c r="R497" s="1"/>
      <c r="S497" s="1">
        <v>56.0</v>
      </c>
      <c r="T497" s="1" t="s">
        <v>34</v>
      </c>
      <c r="U497" s="7">
        <v>4.0</v>
      </c>
      <c r="V497" s="7">
        <v>4.0</v>
      </c>
      <c r="W497" s="7">
        <v>8.0</v>
      </c>
    </row>
    <row r="498">
      <c r="A498" s="3">
        <v>46245.00921296296</v>
      </c>
      <c r="B498" s="1" t="s">
        <v>1043</v>
      </c>
      <c r="C498" s="1" t="s">
        <v>362</v>
      </c>
      <c r="D498" s="1">
        <v>5.0</v>
      </c>
      <c r="E498" s="1" t="s">
        <v>52</v>
      </c>
      <c r="F498" s="4">
        <v>0.0</v>
      </c>
      <c r="G498" s="4">
        <v>4.0</v>
      </c>
      <c r="H498" s="4">
        <v>2.0</v>
      </c>
      <c r="I498" s="4">
        <v>0.0</v>
      </c>
      <c r="J498" s="1">
        <v>7.0</v>
      </c>
      <c r="K498" s="1">
        <v>2.0</v>
      </c>
      <c r="L498" s="1">
        <v>0.0</v>
      </c>
      <c r="M498" s="1">
        <v>0.0</v>
      </c>
      <c r="N498" s="1">
        <v>4.0</v>
      </c>
      <c r="O498" s="1">
        <v>4.0</v>
      </c>
      <c r="P498" s="1">
        <v>2.0</v>
      </c>
      <c r="Q498" s="1" t="s">
        <v>1044</v>
      </c>
      <c r="R498" s="1" t="s">
        <v>1046</v>
      </c>
      <c r="S498" s="1">
        <v>461.0</v>
      </c>
      <c r="T498" s="1" t="s">
        <v>34</v>
      </c>
      <c r="U498" s="7">
        <v>2.0</v>
      </c>
      <c r="V498" s="7">
        <v>8.0</v>
      </c>
      <c r="W498" s="7">
        <v>2.0</v>
      </c>
    </row>
    <row r="499">
      <c r="A499" s="3">
        <v>46245.37125</v>
      </c>
      <c r="B499" s="1" t="s">
        <v>1047</v>
      </c>
      <c r="C499" s="1" t="s">
        <v>246</v>
      </c>
      <c r="D499" s="1">
        <v>5.0</v>
      </c>
      <c r="E499" s="1" t="s">
        <v>184</v>
      </c>
      <c r="F499" s="4">
        <v>1.0</v>
      </c>
      <c r="G499" s="4">
        <v>3.0</v>
      </c>
      <c r="H499" s="4">
        <v>2.0</v>
      </c>
      <c r="I499" s="4">
        <v>0.0</v>
      </c>
      <c r="J499" s="1">
        <v>5.0</v>
      </c>
      <c r="K499" s="1">
        <v>1.0</v>
      </c>
      <c r="L499" s="1">
        <v>1.0</v>
      </c>
      <c r="M499" s="1">
        <v>1.0</v>
      </c>
      <c r="N499" s="1">
        <v>3.0</v>
      </c>
      <c r="O499" s="1">
        <v>3.0</v>
      </c>
      <c r="P499" s="1">
        <v>0.0</v>
      </c>
      <c r="Q499" s="1" t="s">
        <v>1048</v>
      </c>
      <c r="R499" s="1"/>
      <c r="S499" s="1">
        <v>180.0</v>
      </c>
      <c r="T499" s="1" t="s">
        <v>28</v>
      </c>
      <c r="U499" s="7">
        <v>1.0</v>
      </c>
      <c r="V499" s="7">
        <v>6.0</v>
      </c>
      <c r="W499" s="7">
        <v>3.0</v>
      </c>
    </row>
    <row r="500">
      <c r="A500" s="3">
        <v>46245.719363425924</v>
      </c>
      <c r="B500" s="1" t="s">
        <v>1049</v>
      </c>
      <c r="C500" s="1" t="s">
        <v>291</v>
      </c>
      <c r="D500" s="1">
        <v>5.0</v>
      </c>
      <c r="E500" s="1" t="s">
        <v>184</v>
      </c>
      <c r="F500" s="4">
        <v>2.0</v>
      </c>
      <c r="G500" s="4">
        <v>1.0</v>
      </c>
      <c r="H500" s="4">
        <v>3.0</v>
      </c>
      <c r="I500" s="4">
        <v>0.0</v>
      </c>
      <c r="J500" s="1">
        <v>3.0</v>
      </c>
      <c r="K500" s="1">
        <v>-1.0</v>
      </c>
      <c r="L500" s="1">
        <v>2.0</v>
      </c>
      <c r="M500" s="1">
        <v>2.0</v>
      </c>
      <c r="N500" s="1">
        <v>2.0</v>
      </c>
      <c r="O500" s="1">
        <v>1.0</v>
      </c>
      <c r="P500" s="1">
        <v>2.0</v>
      </c>
      <c r="Q500" s="1"/>
      <c r="R500" s="1" t="s">
        <v>707</v>
      </c>
      <c r="S500" s="1">
        <v>96.0</v>
      </c>
      <c r="T500" s="1" t="s">
        <v>28</v>
      </c>
      <c r="U500" s="7">
        <v>4.0</v>
      </c>
      <c r="V500" s="7">
        <v>3.0</v>
      </c>
      <c r="W500" s="7">
        <v>9.0</v>
      </c>
    </row>
    <row r="501">
      <c r="A501" s="3">
        <v>46248.77793981481</v>
      </c>
      <c r="B501" s="1" t="s">
        <v>1050</v>
      </c>
      <c r="C501" s="1" t="s">
        <v>297</v>
      </c>
      <c r="D501" s="1">
        <v>5.0</v>
      </c>
      <c r="E501" s="1" t="s">
        <v>102</v>
      </c>
      <c r="F501" s="4">
        <v>3.0</v>
      </c>
      <c r="G501" s="4">
        <v>1.0</v>
      </c>
      <c r="H501" s="4">
        <v>2.0</v>
      </c>
      <c r="I501" s="4">
        <v>0.0</v>
      </c>
      <c r="J501" s="1">
        <v>3.0</v>
      </c>
      <c r="K501" s="1">
        <v>-2.0</v>
      </c>
      <c r="L501" s="1">
        <v>2.0</v>
      </c>
      <c r="M501" s="1">
        <v>2.0</v>
      </c>
      <c r="N501" s="1">
        <v>2.0</v>
      </c>
      <c r="O501" s="1">
        <v>2.0</v>
      </c>
      <c r="P501" s="1">
        <v>2.0</v>
      </c>
      <c r="Q501" s="1"/>
      <c r="R501" s="1"/>
      <c r="S501" s="1">
        <v>22.0</v>
      </c>
      <c r="T501" s="1" t="s">
        <v>34</v>
      </c>
      <c r="U501" s="7">
        <v>4.0</v>
      </c>
      <c r="V501" s="7">
        <v>4.0</v>
      </c>
      <c r="W501" s="7">
        <v>8.0</v>
      </c>
    </row>
    <row r="502">
      <c r="A502" s="3">
        <v>46250.38818287037</v>
      </c>
      <c r="B502" s="1" t="s">
        <v>1051</v>
      </c>
      <c r="C502" s="1" t="s">
        <v>41</v>
      </c>
      <c r="D502" s="1">
        <v>5.0</v>
      </c>
      <c r="E502" s="1" t="s">
        <v>31</v>
      </c>
      <c r="F502" s="4">
        <v>4.0</v>
      </c>
      <c r="G502" s="4">
        <v>1.0</v>
      </c>
      <c r="H502" s="4">
        <v>1.0</v>
      </c>
      <c r="I502" s="4">
        <v>0.0</v>
      </c>
      <c r="J502" s="1">
        <v>4.0</v>
      </c>
      <c r="K502" s="1">
        <v>-2.0</v>
      </c>
      <c r="L502" s="1">
        <v>3.0</v>
      </c>
      <c r="M502" s="1">
        <v>2.0</v>
      </c>
      <c r="N502" s="1">
        <v>3.0</v>
      </c>
      <c r="O502" s="1">
        <v>2.0</v>
      </c>
      <c r="P502" s="1">
        <v>2.0</v>
      </c>
      <c r="Q502" s="1"/>
      <c r="R502" s="1"/>
      <c r="S502" s="1">
        <v>63.0</v>
      </c>
      <c r="T502" s="1" t="s">
        <v>28</v>
      </c>
      <c r="U502" s="7">
        <v>4.0</v>
      </c>
      <c r="V502" s="7">
        <v>5.0</v>
      </c>
      <c r="W502" s="7">
        <v>7.0</v>
      </c>
    </row>
    <row r="503">
      <c r="A503" s="3">
        <v>46250.39240740741</v>
      </c>
      <c r="B503" s="1" t="s">
        <v>1052</v>
      </c>
      <c r="C503" s="1" t="s">
        <v>183</v>
      </c>
      <c r="D503" s="1">
        <v>6.0</v>
      </c>
      <c r="E503" s="1" t="s">
        <v>184</v>
      </c>
      <c r="F503" s="4">
        <v>2.0</v>
      </c>
      <c r="G503" s="4">
        <v>3.0</v>
      </c>
      <c r="H503" s="4">
        <v>1.0</v>
      </c>
      <c r="I503" s="4">
        <v>0.0</v>
      </c>
      <c r="J503" s="1">
        <v>5.0</v>
      </c>
      <c r="K503" s="1">
        <v>1.0</v>
      </c>
      <c r="L503" s="1">
        <v>2.0</v>
      </c>
      <c r="M503" s="1">
        <v>1.0</v>
      </c>
      <c r="N503" s="1">
        <v>3.0</v>
      </c>
      <c r="O503" s="1">
        <v>3.0</v>
      </c>
      <c r="P503" s="1">
        <v>1.0</v>
      </c>
      <c r="Q503" s="1"/>
      <c r="R503" s="1"/>
      <c r="S503" s="1">
        <v>74.0</v>
      </c>
      <c r="T503" s="1" t="s">
        <v>28</v>
      </c>
      <c r="U503" s="7">
        <v>2.0</v>
      </c>
      <c r="V503" s="7">
        <v>6.0</v>
      </c>
      <c r="W503" s="7">
        <v>4.0</v>
      </c>
    </row>
    <row r="504">
      <c r="A504" s="3">
        <v>46250.39310185185</v>
      </c>
      <c r="B504" s="1" t="s">
        <v>1053</v>
      </c>
      <c r="C504" s="1" t="s">
        <v>313</v>
      </c>
      <c r="D504" s="1">
        <v>6.0</v>
      </c>
      <c r="E504" s="1" t="s">
        <v>184</v>
      </c>
      <c r="F504" s="4">
        <v>1.0</v>
      </c>
      <c r="G504" s="4">
        <v>5.0</v>
      </c>
      <c r="H504" s="4">
        <v>0.0</v>
      </c>
      <c r="I504" s="4">
        <v>0.0</v>
      </c>
      <c r="J504" s="1">
        <v>4.0</v>
      </c>
      <c r="K504" s="1">
        <v>3.0</v>
      </c>
      <c r="L504" s="1">
        <v>-3.0</v>
      </c>
      <c r="M504" s="1">
        <v>1.0</v>
      </c>
      <c r="N504" s="1">
        <v>3.0</v>
      </c>
      <c r="O504" s="1">
        <v>3.0</v>
      </c>
      <c r="P504" s="1">
        <v>2.0</v>
      </c>
      <c r="Q504" s="1"/>
      <c r="R504" s="1"/>
      <c r="S504" s="1">
        <v>51.0</v>
      </c>
      <c r="T504" s="1" t="s">
        <v>28</v>
      </c>
      <c r="U504" s="7">
        <v>3.0</v>
      </c>
      <c r="V504" s="7">
        <v>6.0</v>
      </c>
      <c r="W504" s="7">
        <v>5.0</v>
      </c>
    </row>
    <row r="505">
      <c r="A505" s="3">
        <v>46250.40341435185</v>
      </c>
      <c r="B505" s="1" t="s">
        <v>1054</v>
      </c>
      <c r="C505" s="1" t="s">
        <v>356</v>
      </c>
      <c r="D505" s="1">
        <v>6.0</v>
      </c>
      <c r="E505" s="1" t="s">
        <v>184</v>
      </c>
      <c r="F505" s="4">
        <v>1.0</v>
      </c>
      <c r="G505" s="4">
        <v>3.0</v>
      </c>
      <c r="H505" s="4">
        <v>2.0</v>
      </c>
      <c r="I505" s="4">
        <v>0.0</v>
      </c>
      <c r="J505" s="1">
        <v>4.0</v>
      </c>
      <c r="K505" s="1">
        <v>-1.0</v>
      </c>
      <c r="L505" s="1">
        <v>0.0</v>
      </c>
      <c r="M505" s="1">
        <v>1.0</v>
      </c>
      <c r="N505" s="1">
        <v>2.0</v>
      </c>
      <c r="O505" s="1">
        <v>2.0</v>
      </c>
      <c r="P505" s="1">
        <v>2.0</v>
      </c>
      <c r="Q505" s="1"/>
      <c r="R505" s="1"/>
      <c r="S505" s="1">
        <v>54.0</v>
      </c>
      <c r="T505" s="1" t="s">
        <v>34</v>
      </c>
      <c r="U505" s="7">
        <v>3.0</v>
      </c>
      <c r="V505" s="7">
        <v>4.0</v>
      </c>
      <c r="W505" s="7">
        <v>7.0</v>
      </c>
    </row>
    <row r="506">
      <c r="A506" s="3">
        <v>46250.40462962963</v>
      </c>
      <c r="B506" s="1" t="s">
        <v>1056</v>
      </c>
      <c r="C506" s="1" t="s">
        <v>208</v>
      </c>
      <c r="D506" s="1">
        <v>6.0</v>
      </c>
      <c r="E506" s="1" t="s">
        <v>192</v>
      </c>
      <c r="F506" s="4">
        <v>1.0</v>
      </c>
      <c r="G506" s="4">
        <v>3.0</v>
      </c>
      <c r="H506" s="4">
        <v>2.0</v>
      </c>
      <c r="I506" s="4">
        <v>0.0</v>
      </c>
      <c r="J506" s="1">
        <v>4.0</v>
      </c>
      <c r="K506" s="1">
        <v>2.0</v>
      </c>
      <c r="L506" s="1">
        <v>-2.0</v>
      </c>
      <c r="M506" s="1">
        <v>2.0</v>
      </c>
      <c r="N506" s="1">
        <v>2.0</v>
      </c>
      <c r="O506" s="1">
        <v>2.0</v>
      </c>
      <c r="P506" s="1">
        <v>2.0</v>
      </c>
      <c r="Q506" s="1"/>
      <c r="R506" s="1"/>
      <c r="S506" s="1">
        <v>53.0</v>
      </c>
      <c r="T506" s="1" t="s">
        <v>28</v>
      </c>
      <c r="U506" s="7">
        <v>4.0</v>
      </c>
      <c r="V506" s="7">
        <v>4.0</v>
      </c>
      <c r="W506" s="7">
        <v>8.0</v>
      </c>
    </row>
    <row r="507">
      <c r="A507" s="3">
        <v>46250.40472222222</v>
      </c>
      <c r="B507" s="1" t="s">
        <v>1057</v>
      </c>
      <c r="C507" s="1" t="s">
        <v>111</v>
      </c>
      <c r="D507" s="1">
        <v>6.0</v>
      </c>
      <c r="E507" s="1" t="s">
        <v>184</v>
      </c>
      <c r="F507" s="4">
        <v>1.0</v>
      </c>
      <c r="G507" s="4">
        <v>2.0</v>
      </c>
      <c r="H507" s="4">
        <v>3.0</v>
      </c>
      <c r="I507" s="4">
        <v>0.0</v>
      </c>
      <c r="J507" s="1">
        <v>4.0</v>
      </c>
      <c r="K507" s="1">
        <v>-2.0</v>
      </c>
      <c r="L507" s="1">
        <v>-2.0</v>
      </c>
      <c r="M507" s="1">
        <v>2.0</v>
      </c>
      <c r="N507" s="1">
        <v>2.0</v>
      </c>
      <c r="O507" s="1">
        <v>1.0</v>
      </c>
      <c r="P507" s="1">
        <v>3.0</v>
      </c>
      <c r="Q507" s="1"/>
      <c r="R507" s="1"/>
      <c r="S507" s="1">
        <v>65.0</v>
      </c>
      <c r="T507" s="1" t="s">
        <v>28</v>
      </c>
      <c r="U507" s="7">
        <v>5.0</v>
      </c>
      <c r="V507" s="7">
        <v>3.0</v>
      </c>
      <c r="W507" s="7">
        <v>10.0</v>
      </c>
    </row>
    <row r="508">
      <c r="A508" s="3">
        <v>46250.40572916667</v>
      </c>
      <c r="B508" s="1" t="s">
        <v>1058</v>
      </c>
      <c r="C508" s="1" t="s">
        <v>114</v>
      </c>
      <c r="D508" s="1">
        <v>6.0</v>
      </c>
      <c r="E508" s="1" t="s">
        <v>85</v>
      </c>
      <c r="F508" s="4">
        <v>1.0</v>
      </c>
      <c r="G508" s="4">
        <v>2.0</v>
      </c>
      <c r="H508" s="4">
        <v>2.0</v>
      </c>
      <c r="I508" s="4">
        <v>1.0</v>
      </c>
      <c r="J508" s="1">
        <v>6.0</v>
      </c>
      <c r="K508" s="1">
        <v>1.0</v>
      </c>
      <c r="L508" s="1">
        <v>-2.0</v>
      </c>
      <c r="M508" s="1">
        <v>1.0</v>
      </c>
      <c r="N508" s="1">
        <v>3.0</v>
      </c>
      <c r="O508" s="1">
        <v>2.0</v>
      </c>
      <c r="P508" s="1">
        <v>1.0</v>
      </c>
      <c r="Q508" s="1" t="s">
        <v>1059</v>
      </c>
      <c r="R508" s="1" t="s">
        <v>1060</v>
      </c>
      <c r="S508" s="1">
        <v>755.0</v>
      </c>
      <c r="T508" s="1" t="s">
        <v>28</v>
      </c>
      <c r="U508" s="7">
        <v>2.0</v>
      </c>
      <c r="V508" s="7">
        <v>5.0</v>
      </c>
      <c r="W508" s="7">
        <v>5.0</v>
      </c>
    </row>
    <row r="509">
      <c r="A509" s="3">
        <v>46250.41012731481</v>
      </c>
      <c r="B509" s="1" t="s">
        <v>1061</v>
      </c>
      <c r="C509" s="1" t="s">
        <v>56</v>
      </c>
      <c r="D509" s="1">
        <v>6.0</v>
      </c>
      <c r="E509" s="1" t="s">
        <v>49</v>
      </c>
      <c r="F509" s="4">
        <v>5.0</v>
      </c>
      <c r="G509" s="4">
        <v>1.0</v>
      </c>
      <c r="H509" s="4">
        <v>0.0</v>
      </c>
      <c r="I509" s="4">
        <v>0.0</v>
      </c>
      <c r="J509" s="1">
        <v>2.0</v>
      </c>
      <c r="K509" s="1">
        <v>-3.0</v>
      </c>
      <c r="L509" s="1">
        <v>2.0</v>
      </c>
      <c r="M509" s="1">
        <v>2.0</v>
      </c>
      <c r="N509" s="1">
        <v>3.0</v>
      </c>
      <c r="O509" s="1">
        <v>2.0</v>
      </c>
      <c r="P509" s="1">
        <v>1.0</v>
      </c>
      <c r="Q509" s="1"/>
      <c r="R509" s="1"/>
      <c r="S509" s="1">
        <v>86.0</v>
      </c>
      <c r="T509" s="1" t="s">
        <v>28</v>
      </c>
      <c r="U509" s="7">
        <v>3.0</v>
      </c>
      <c r="V509" s="7">
        <v>5.0</v>
      </c>
      <c r="W509" s="7">
        <v>6.0</v>
      </c>
    </row>
    <row r="510">
      <c r="A510" s="3">
        <v>46250.41024305556</v>
      </c>
      <c r="B510" s="1" t="s">
        <v>1062</v>
      </c>
      <c r="C510" s="1" t="s">
        <v>684</v>
      </c>
      <c r="D510" s="1">
        <v>6.0</v>
      </c>
      <c r="E510" s="1" t="s">
        <v>184</v>
      </c>
      <c r="F510" s="4">
        <v>0.0</v>
      </c>
      <c r="G510" s="4">
        <v>4.0</v>
      </c>
      <c r="H510" s="4">
        <v>2.0</v>
      </c>
      <c r="I510" s="4">
        <v>0.0</v>
      </c>
      <c r="J510" s="1">
        <v>4.0</v>
      </c>
      <c r="K510" s="1">
        <v>0.0</v>
      </c>
      <c r="L510" s="1">
        <v>0.0</v>
      </c>
      <c r="M510" s="1">
        <v>2.0</v>
      </c>
      <c r="N510" s="1">
        <v>2.0</v>
      </c>
      <c r="O510" s="1">
        <v>2.0</v>
      </c>
      <c r="P510" s="1">
        <v>2.0</v>
      </c>
      <c r="Q510" s="1"/>
      <c r="R510" s="1"/>
      <c r="S510" s="1">
        <v>141.0</v>
      </c>
      <c r="T510" s="1" t="s">
        <v>34</v>
      </c>
      <c r="U510" s="7">
        <v>4.0</v>
      </c>
      <c r="V510" s="7">
        <v>4.0</v>
      </c>
      <c r="W510" s="7">
        <v>8.0</v>
      </c>
    </row>
    <row r="511">
      <c r="A511" s="3">
        <v>46250.417280092595</v>
      </c>
      <c r="B511" s="1" t="s">
        <v>1063</v>
      </c>
      <c r="C511" s="1" t="s">
        <v>179</v>
      </c>
      <c r="D511" s="1">
        <v>6.0</v>
      </c>
      <c r="E511" s="1" t="s">
        <v>49</v>
      </c>
      <c r="F511" s="4">
        <v>3.0</v>
      </c>
      <c r="G511" s="4">
        <v>1.0</v>
      </c>
      <c r="H511" s="4">
        <v>1.0</v>
      </c>
      <c r="I511" s="4">
        <v>1.0</v>
      </c>
      <c r="J511" s="1">
        <v>3.0</v>
      </c>
      <c r="K511" s="1">
        <v>-2.0</v>
      </c>
      <c r="L511" s="1">
        <v>-2.0</v>
      </c>
      <c r="M511" s="1">
        <v>2.0</v>
      </c>
      <c r="N511" s="1">
        <v>1.0</v>
      </c>
      <c r="O511" s="1">
        <v>3.0</v>
      </c>
      <c r="P511" s="1">
        <v>0.0</v>
      </c>
      <c r="Q511" s="1"/>
      <c r="R511" s="1"/>
      <c r="S511" s="1">
        <v>64.0</v>
      </c>
      <c r="T511" s="1" t="s">
        <v>28</v>
      </c>
      <c r="U511" s="7">
        <v>2.0</v>
      </c>
      <c r="V511" s="7">
        <v>4.0</v>
      </c>
      <c r="W511" s="7">
        <v>6.0</v>
      </c>
    </row>
    <row r="512">
      <c r="A512" s="3">
        <v>46250.42025462963</v>
      </c>
      <c r="B512" s="1" t="s">
        <v>1065</v>
      </c>
      <c r="C512" s="1" t="s">
        <v>128</v>
      </c>
      <c r="D512" s="1">
        <v>6.0</v>
      </c>
      <c r="E512" s="1" t="s">
        <v>49</v>
      </c>
      <c r="F512" s="4">
        <v>4.0</v>
      </c>
      <c r="G512" s="4">
        <v>1.0</v>
      </c>
      <c r="H512" s="4">
        <v>1.0</v>
      </c>
      <c r="I512" s="4">
        <v>0.0</v>
      </c>
      <c r="J512" s="1">
        <v>7.0</v>
      </c>
      <c r="K512" s="1">
        <v>1.0</v>
      </c>
      <c r="L512" s="1">
        <v>1.0</v>
      </c>
      <c r="M512" s="1">
        <v>3.0</v>
      </c>
      <c r="N512" s="1">
        <v>3.0</v>
      </c>
      <c r="O512" s="1">
        <v>2.0</v>
      </c>
      <c r="P512" s="1">
        <v>3.0</v>
      </c>
      <c r="Q512" s="1" t="s">
        <v>1066</v>
      </c>
      <c r="R512" s="1"/>
      <c r="S512" s="1">
        <v>89.0</v>
      </c>
      <c r="T512" s="1" t="s">
        <v>28</v>
      </c>
      <c r="U512" s="7">
        <v>6.0</v>
      </c>
      <c r="V512" s="7">
        <v>5.0</v>
      </c>
      <c r="W512" s="7">
        <v>9.0</v>
      </c>
    </row>
    <row r="513">
      <c r="A513" s="3">
        <v>46250.424108796295</v>
      </c>
      <c r="B513" s="1" t="s">
        <v>1067</v>
      </c>
      <c r="C513" s="1" t="s">
        <v>994</v>
      </c>
      <c r="D513" s="1">
        <v>6.0</v>
      </c>
      <c r="E513" s="1" t="s">
        <v>184</v>
      </c>
      <c r="F513" s="4">
        <v>0.0</v>
      </c>
      <c r="G513" s="4">
        <v>1.0</v>
      </c>
      <c r="H513" s="4">
        <v>1.0</v>
      </c>
      <c r="I513" s="4">
        <v>4.0</v>
      </c>
      <c r="J513" s="1">
        <v>4.0</v>
      </c>
      <c r="K513" s="1">
        <v>-3.0</v>
      </c>
      <c r="L513" s="1">
        <v>-2.0</v>
      </c>
      <c r="M513" s="1">
        <v>4.0</v>
      </c>
      <c r="N513" s="1">
        <v>1.0</v>
      </c>
      <c r="O513" s="1">
        <v>1.0</v>
      </c>
      <c r="P513" s="1">
        <v>4.0</v>
      </c>
      <c r="Q513" s="1"/>
      <c r="R513" s="1"/>
      <c r="S513" s="1">
        <v>76.0</v>
      </c>
      <c r="T513" s="1" t="s">
        <v>28</v>
      </c>
      <c r="U513" s="7">
        <v>8.0</v>
      </c>
      <c r="V513" s="7">
        <v>2.0</v>
      </c>
      <c r="W513" s="7">
        <v>14.0</v>
      </c>
    </row>
    <row r="514">
      <c r="A514" s="3">
        <v>46250.424849537034</v>
      </c>
      <c r="B514" s="1" t="s">
        <v>1068</v>
      </c>
      <c r="C514" s="1" t="s">
        <v>1069</v>
      </c>
      <c r="D514" s="1">
        <v>6.0</v>
      </c>
      <c r="E514" s="1" t="s">
        <v>26</v>
      </c>
      <c r="F514" s="4">
        <v>2.0</v>
      </c>
      <c r="G514" s="4">
        <v>1.0</v>
      </c>
      <c r="H514" s="4">
        <v>2.0</v>
      </c>
      <c r="I514" s="4">
        <v>1.0</v>
      </c>
      <c r="J514" s="1">
        <v>5.0</v>
      </c>
      <c r="K514" s="1">
        <v>0.0</v>
      </c>
      <c r="L514" s="1">
        <v>-1.0</v>
      </c>
      <c r="M514" s="1">
        <v>2.0</v>
      </c>
      <c r="N514" s="1">
        <v>2.0</v>
      </c>
      <c r="O514" s="1">
        <v>2.0</v>
      </c>
      <c r="P514" s="1">
        <v>2.0</v>
      </c>
      <c r="Q514" s="1"/>
      <c r="R514" s="1"/>
      <c r="S514" s="1">
        <v>88.0</v>
      </c>
      <c r="T514" s="1" t="s">
        <v>28</v>
      </c>
      <c r="U514" s="7">
        <v>4.0</v>
      </c>
      <c r="V514" s="7">
        <v>4.0</v>
      </c>
      <c r="W514" s="7">
        <v>8.0</v>
      </c>
    </row>
    <row r="515">
      <c r="A515" s="3">
        <v>46250.42865740741</v>
      </c>
      <c r="B515" s="1" t="s">
        <v>1070</v>
      </c>
      <c r="C515" s="1" t="s">
        <v>634</v>
      </c>
      <c r="D515" s="1">
        <v>6.0</v>
      </c>
      <c r="E515" s="1" t="s">
        <v>192</v>
      </c>
      <c r="F515" s="4">
        <v>0.0</v>
      </c>
      <c r="G515" s="4">
        <v>6.0</v>
      </c>
      <c r="H515" s="4">
        <v>0.0</v>
      </c>
      <c r="I515" s="4">
        <v>0.0</v>
      </c>
      <c r="J515" s="1">
        <v>7.0</v>
      </c>
      <c r="K515" s="1">
        <v>2.0</v>
      </c>
      <c r="L515" s="1">
        <v>-3.0</v>
      </c>
      <c r="M515" s="1">
        <v>0.0</v>
      </c>
      <c r="N515" s="1">
        <v>3.0</v>
      </c>
      <c r="O515" s="1">
        <v>3.0</v>
      </c>
      <c r="P515" s="1">
        <v>0.0</v>
      </c>
      <c r="Q515" s="1"/>
      <c r="R515" s="1"/>
      <c r="S515" s="1">
        <v>38.0</v>
      </c>
      <c r="T515" s="1" t="s">
        <v>28</v>
      </c>
      <c r="U515" s="7">
        <v>0.0</v>
      </c>
      <c r="V515" s="7">
        <v>6.0</v>
      </c>
      <c r="W515" s="7">
        <v>2.0</v>
      </c>
    </row>
    <row r="516">
      <c r="A516" s="3">
        <v>46250.433969907404</v>
      </c>
      <c r="B516" s="1" t="s">
        <v>1071</v>
      </c>
      <c r="C516" s="1" t="s">
        <v>196</v>
      </c>
      <c r="D516" s="1">
        <v>6.0</v>
      </c>
      <c r="E516" s="1" t="s">
        <v>184</v>
      </c>
      <c r="F516" s="4">
        <v>3.0</v>
      </c>
      <c r="G516" s="4">
        <v>1.0</v>
      </c>
      <c r="H516" s="4">
        <v>2.0</v>
      </c>
      <c r="I516" s="4">
        <v>0.0</v>
      </c>
      <c r="J516" s="1">
        <v>6.0</v>
      </c>
      <c r="K516" s="1">
        <v>-2.0</v>
      </c>
      <c r="L516" s="1">
        <v>2.0</v>
      </c>
      <c r="M516" s="1">
        <v>2.0</v>
      </c>
      <c r="N516" s="1">
        <v>2.0</v>
      </c>
      <c r="O516" s="1">
        <v>2.0</v>
      </c>
      <c r="P516" s="1">
        <v>2.0</v>
      </c>
      <c r="Q516" s="1" t="s">
        <v>1072</v>
      </c>
      <c r="R516" s="1"/>
      <c r="S516" s="1">
        <v>274.0</v>
      </c>
      <c r="T516" s="1" t="s">
        <v>28</v>
      </c>
      <c r="U516" s="7">
        <v>4.0</v>
      </c>
      <c r="V516" s="7">
        <v>4.0</v>
      </c>
      <c r="W516" s="7">
        <v>8.0</v>
      </c>
    </row>
    <row r="517">
      <c r="A517" s="3">
        <v>46250.44354166667</v>
      </c>
      <c r="B517" s="1" t="s">
        <v>1073</v>
      </c>
      <c r="C517" s="1" t="s">
        <v>365</v>
      </c>
      <c r="D517" s="1">
        <v>6.0</v>
      </c>
      <c r="E517" s="1" t="s">
        <v>184</v>
      </c>
      <c r="F517" s="4">
        <v>4.0</v>
      </c>
      <c r="G517" s="4">
        <v>0.0</v>
      </c>
      <c r="H517" s="4">
        <v>2.0</v>
      </c>
      <c r="I517" s="4">
        <v>0.0</v>
      </c>
      <c r="J517" s="1">
        <v>4.0</v>
      </c>
      <c r="K517" s="1">
        <v>-1.0</v>
      </c>
      <c r="L517" s="1">
        <v>2.0</v>
      </c>
      <c r="M517" s="1">
        <v>2.0</v>
      </c>
      <c r="N517" s="1">
        <v>3.0</v>
      </c>
      <c r="O517" s="1">
        <v>2.0</v>
      </c>
      <c r="P517" s="1">
        <v>1.0</v>
      </c>
      <c r="Q517" s="1"/>
      <c r="R517" s="1"/>
      <c r="S517" s="1">
        <v>41.0</v>
      </c>
      <c r="T517" s="1" t="s">
        <v>34</v>
      </c>
      <c r="U517" s="7">
        <v>3.0</v>
      </c>
      <c r="V517" s="7">
        <v>5.0</v>
      </c>
      <c r="W517" s="7">
        <v>6.0</v>
      </c>
    </row>
    <row r="518">
      <c r="A518" s="3">
        <v>46250.44798611111</v>
      </c>
      <c r="B518" s="1" t="s">
        <v>1074</v>
      </c>
      <c r="C518" s="1" t="s">
        <v>194</v>
      </c>
      <c r="D518" s="1">
        <v>6.0</v>
      </c>
      <c r="E518" s="1" t="s">
        <v>184</v>
      </c>
      <c r="F518" s="4">
        <v>3.0</v>
      </c>
      <c r="G518" s="4">
        <v>1.0</v>
      </c>
      <c r="H518" s="4">
        <v>2.0</v>
      </c>
      <c r="I518" s="4">
        <v>0.0</v>
      </c>
      <c r="J518" s="1">
        <v>4.0</v>
      </c>
      <c r="K518" s="1">
        <v>0.0</v>
      </c>
      <c r="L518" s="1">
        <v>0.0</v>
      </c>
      <c r="M518" s="1">
        <v>2.0</v>
      </c>
      <c r="N518" s="1">
        <v>2.0</v>
      </c>
      <c r="O518" s="1">
        <v>2.0</v>
      </c>
      <c r="P518" s="1">
        <v>2.0</v>
      </c>
      <c r="Q518" s="1"/>
      <c r="R518" s="1"/>
      <c r="S518" s="1">
        <v>26.0</v>
      </c>
      <c r="T518" s="1" t="s">
        <v>28</v>
      </c>
      <c r="U518" s="7">
        <v>4.0</v>
      </c>
      <c r="V518" s="7">
        <v>4.0</v>
      </c>
      <c r="W518" s="7">
        <v>8.0</v>
      </c>
    </row>
    <row r="519">
      <c r="A519" s="3">
        <v>46250.46087962963</v>
      </c>
      <c r="B519" s="1" t="s">
        <v>1075</v>
      </c>
      <c r="C519" s="1" t="s">
        <v>62</v>
      </c>
      <c r="D519" s="1">
        <v>6.0</v>
      </c>
      <c r="E519" s="1" t="s">
        <v>52</v>
      </c>
      <c r="F519" s="4">
        <v>0.0</v>
      </c>
      <c r="G519" s="4">
        <v>1.0</v>
      </c>
      <c r="H519" s="4">
        <v>1.0</v>
      </c>
      <c r="I519" s="4">
        <v>4.0</v>
      </c>
      <c r="J519" s="1">
        <v>2.0</v>
      </c>
      <c r="K519" s="1">
        <v>-2.0</v>
      </c>
      <c r="L519" s="1">
        <v>3.0</v>
      </c>
      <c r="M519" s="1">
        <v>2.0</v>
      </c>
      <c r="N519" s="1">
        <v>2.0</v>
      </c>
      <c r="O519" s="1">
        <v>2.0</v>
      </c>
      <c r="P519" s="1">
        <v>2.0</v>
      </c>
      <c r="Q519" s="1" t="s">
        <v>1076</v>
      </c>
      <c r="R519" s="1"/>
      <c r="S519" s="1">
        <v>172.0</v>
      </c>
      <c r="T519" s="1" t="s">
        <v>28</v>
      </c>
      <c r="U519" s="7">
        <v>4.0</v>
      </c>
      <c r="V519" s="7">
        <v>4.0</v>
      </c>
      <c r="W519" s="7">
        <v>8.0</v>
      </c>
    </row>
    <row r="520">
      <c r="A520" s="3">
        <v>46250.46355324074</v>
      </c>
      <c r="B520" s="1" t="s">
        <v>1077</v>
      </c>
      <c r="C520" s="1" t="s">
        <v>162</v>
      </c>
      <c r="D520" s="1">
        <v>6.0</v>
      </c>
      <c r="E520" s="1" t="s">
        <v>37</v>
      </c>
      <c r="F520" s="4">
        <v>1.0</v>
      </c>
      <c r="G520" s="4">
        <v>2.0</v>
      </c>
      <c r="H520" s="4">
        <v>3.0</v>
      </c>
      <c r="I520" s="4">
        <v>0.0</v>
      </c>
      <c r="J520" s="1">
        <v>3.0</v>
      </c>
      <c r="K520" s="1">
        <v>0.0</v>
      </c>
      <c r="L520" s="1">
        <v>2.0</v>
      </c>
      <c r="M520" s="1">
        <v>3.0</v>
      </c>
      <c r="N520" s="1">
        <v>2.0</v>
      </c>
      <c r="O520" s="1">
        <v>2.0</v>
      </c>
      <c r="P520" s="1">
        <v>1.0</v>
      </c>
      <c r="Q520" s="1" t="s">
        <v>1078</v>
      </c>
      <c r="R520" s="1"/>
      <c r="S520" s="1">
        <v>120.0</v>
      </c>
      <c r="T520" s="1" t="s">
        <v>34</v>
      </c>
      <c r="U520" s="7">
        <v>4.0</v>
      </c>
      <c r="V520" s="7">
        <v>4.0</v>
      </c>
      <c r="W520" s="7">
        <v>8.0</v>
      </c>
    </row>
    <row r="521">
      <c r="A521" s="3">
        <v>46250.484918981485</v>
      </c>
      <c r="B521" s="1" t="s">
        <v>1079</v>
      </c>
      <c r="C521" s="1" t="s">
        <v>479</v>
      </c>
      <c r="D521" s="1">
        <v>6.0</v>
      </c>
      <c r="E521" s="1" t="s">
        <v>184</v>
      </c>
      <c r="F521" s="4">
        <v>1.0</v>
      </c>
      <c r="G521" s="4">
        <v>1.0</v>
      </c>
      <c r="H521" s="4">
        <v>3.0</v>
      </c>
      <c r="I521" s="4">
        <v>1.0</v>
      </c>
      <c r="J521" s="1">
        <v>4.0</v>
      </c>
      <c r="K521" s="1">
        <v>0.0</v>
      </c>
      <c r="L521" s="1">
        <v>-2.0</v>
      </c>
      <c r="M521" s="1">
        <v>3.0</v>
      </c>
      <c r="N521" s="1">
        <v>3.0</v>
      </c>
      <c r="O521" s="1">
        <v>3.0</v>
      </c>
      <c r="P521" s="1">
        <v>0.0</v>
      </c>
      <c r="Q521" s="1"/>
      <c r="R521" s="1"/>
      <c r="S521" s="1">
        <v>61.0</v>
      </c>
      <c r="T521" s="1" t="s">
        <v>34</v>
      </c>
      <c r="U521" s="7">
        <v>3.0</v>
      </c>
      <c r="V521" s="7">
        <v>6.0</v>
      </c>
      <c r="W521" s="7">
        <v>5.0</v>
      </c>
    </row>
    <row r="522">
      <c r="A522" s="3">
        <v>46250.50373842593</v>
      </c>
      <c r="B522" s="1" t="s">
        <v>1080</v>
      </c>
      <c r="C522" s="1" t="s">
        <v>217</v>
      </c>
      <c r="D522" s="1">
        <v>6.0</v>
      </c>
      <c r="E522" s="1" t="s">
        <v>184</v>
      </c>
      <c r="F522" s="4">
        <v>2.0</v>
      </c>
      <c r="G522" s="4">
        <v>1.0</v>
      </c>
      <c r="H522" s="4">
        <v>2.0</v>
      </c>
      <c r="I522" s="4">
        <v>1.0</v>
      </c>
      <c r="J522" s="1">
        <v>5.0</v>
      </c>
      <c r="K522" s="1">
        <v>1.0</v>
      </c>
      <c r="L522" s="1">
        <v>2.0</v>
      </c>
      <c r="M522" s="1">
        <v>1.0</v>
      </c>
      <c r="N522" s="1">
        <v>0.0</v>
      </c>
      <c r="O522" s="1">
        <v>3.0</v>
      </c>
      <c r="P522" s="1">
        <v>2.0</v>
      </c>
      <c r="Q522" s="1"/>
      <c r="R522" s="1"/>
      <c r="S522" s="1">
        <v>64.0</v>
      </c>
      <c r="T522" s="1" t="s">
        <v>28</v>
      </c>
      <c r="U522" s="7">
        <v>3.0</v>
      </c>
      <c r="V522" s="7">
        <v>3.0</v>
      </c>
      <c r="W522" s="7">
        <v>8.0</v>
      </c>
    </row>
    <row r="523">
      <c r="A523" s="3">
        <v>46250.50578703704</v>
      </c>
      <c r="B523" s="1" t="s">
        <v>1081</v>
      </c>
      <c r="C523" s="1" t="s">
        <v>189</v>
      </c>
      <c r="D523" s="1">
        <v>6.0</v>
      </c>
      <c r="E523" s="1" t="s">
        <v>184</v>
      </c>
      <c r="F523" s="4">
        <v>3.0</v>
      </c>
      <c r="G523" s="4">
        <v>0.0</v>
      </c>
      <c r="H523" s="4">
        <v>3.0</v>
      </c>
      <c r="I523" s="4">
        <v>0.0</v>
      </c>
      <c r="J523" s="1">
        <v>3.0</v>
      </c>
      <c r="K523" s="1">
        <v>0.0</v>
      </c>
      <c r="L523" s="1">
        <v>3.0</v>
      </c>
      <c r="M523" s="1">
        <v>0.0</v>
      </c>
      <c r="N523" s="1">
        <v>2.0</v>
      </c>
      <c r="O523" s="1">
        <v>0.0</v>
      </c>
      <c r="P523" s="1">
        <v>0.0</v>
      </c>
      <c r="Q523" s="1"/>
      <c r="R523" s="1"/>
      <c r="S523" s="1">
        <v>51.0</v>
      </c>
      <c r="T523" s="1" t="s">
        <v>34</v>
      </c>
      <c r="U523" s="7">
        <v>0.0</v>
      </c>
      <c r="V523" s="7">
        <v>2.0</v>
      </c>
      <c r="W523" s="7">
        <v>6.0</v>
      </c>
    </row>
    <row r="524">
      <c r="A524" s="3">
        <v>46250.531180555554</v>
      </c>
      <c r="B524" s="1" t="s">
        <v>1082</v>
      </c>
      <c r="C524" s="1" t="s">
        <v>271</v>
      </c>
      <c r="D524" s="1">
        <v>6.0</v>
      </c>
      <c r="E524" s="1" t="s">
        <v>192</v>
      </c>
      <c r="F524" s="4">
        <v>2.0</v>
      </c>
      <c r="G524" s="4">
        <v>3.0</v>
      </c>
      <c r="H524" s="4">
        <v>1.0</v>
      </c>
      <c r="I524" s="4">
        <v>0.0</v>
      </c>
      <c r="J524" s="1">
        <v>7.0</v>
      </c>
      <c r="K524" s="1">
        <v>3.0</v>
      </c>
      <c r="L524" s="1">
        <v>-2.0</v>
      </c>
      <c r="M524" s="1">
        <v>0.0</v>
      </c>
      <c r="N524" s="1">
        <v>3.0</v>
      </c>
      <c r="O524" s="1">
        <v>3.0</v>
      </c>
      <c r="P524" s="1">
        <v>1.0</v>
      </c>
      <c r="Q524" s="1"/>
      <c r="R524" s="1"/>
      <c r="S524" s="1">
        <v>45.0</v>
      </c>
      <c r="T524" s="1" t="s">
        <v>28</v>
      </c>
      <c r="U524" s="7">
        <v>1.0</v>
      </c>
      <c r="V524" s="7">
        <v>6.0</v>
      </c>
      <c r="W524" s="7">
        <v>3.0</v>
      </c>
    </row>
    <row r="525">
      <c r="A525" s="3">
        <v>46250.71497685185</v>
      </c>
      <c r="B525" s="1" t="s">
        <v>1083</v>
      </c>
      <c r="C525" s="1" t="s">
        <v>171</v>
      </c>
      <c r="D525" s="1">
        <v>6.0</v>
      </c>
      <c r="E525" s="1" t="s">
        <v>90</v>
      </c>
      <c r="F525" s="4">
        <v>1.0</v>
      </c>
      <c r="G525" s="4">
        <v>2.0</v>
      </c>
      <c r="H525" s="4">
        <v>2.0</v>
      </c>
      <c r="I525" s="4">
        <v>1.0</v>
      </c>
      <c r="J525" s="1">
        <v>6.0</v>
      </c>
      <c r="K525" s="1">
        <v>2.0</v>
      </c>
      <c r="L525" s="1">
        <v>-1.0</v>
      </c>
      <c r="M525" s="1">
        <v>2.0</v>
      </c>
      <c r="N525" s="1">
        <v>2.0</v>
      </c>
      <c r="O525" s="1">
        <v>3.0</v>
      </c>
      <c r="P525" s="1">
        <v>1.0</v>
      </c>
      <c r="Q525" s="1"/>
      <c r="R525" s="1"/>
      <c r="S525" s="1">
        <v>158.0</v>
      </c>
      <c r="T525" s="1" t="s">
        <v>34</v>
      </c>
      <c r="U525" s="7">
        <v>3.0</v>
      </c>
      <c r="V525" s="7">
        <v>5.0</v>
      </c>
      <c r="W525" s="7">
        <v>6.0</v>
      </c>
    </row>
    <row r="526">
      <c r="A526" s="3">
        <v>46250.747824074075</v>
      </c>
      <c r="B526" s="1" t="s">
        <v>1084</v>
      </c>
      <c r="C526" s="1" t="s">
        <v>140</v>
      </c>
      <c r="D526" s="1">
        <v>6.0</v>
      </c>
      <c r="E526" s="1" t="s">
        <v>90</v>
      </c>
      <c r="F526" s="4">
        <v>0.0</v>
      </c>
      <c r="G526" s="4">
        <v>3.0</v>
      </c>
      <c r="H526" s="4">
        <v>2.0</v>
      </c>
      <c r="I526" s="4">
        <v>1.0</v>
      </c>
      <c r="J526" s="1">
        <v>6.0</v>
      </c>
      <c r="K526" s="1">
        <v>2.0</v>
      </c>
      <c r="L526" s="1">
        <v>-1.0</v>
      </c>
      <c r="M526" s="1">
        <v>0.0</v>
      </c>
      <c r="N526" s="1">
        <v>3.0</v>
      </c>
      <c r="O526" s="1">
        <v>3.0</v>
      </c>
      <c r="P526" s="1">
        <v>1.0</v>
      </c>
      <c r="Q526" s="1" t="s">
        <v>1085</v>
      </c>
      <c r="R526" s="1" t="s">
        <v>1086</v>
      </c>
      <c r="S526" s="1">
        <v>3308.0</v>
      </c>
      <c r="T526" s="1" t="s">
        <v>34</v>
      </c>
      <c r="U526" s="7">
        <v>1.0</v>
      </c>
      <c r="V526" s="7">
        <v>6.0</v>
      </c>
      <c r="W526" s="7">
        <v>3.0</v>
      </c>
    </row>
    <row r="527">
      <c r="A527" s="3">
        <v>46250.780798611115</v>
      </c>
      <c r="B527" s="1" t="s">
        <v>1087</v>
      </c>
      <c r="C527" s="1" t="s">
        <v>384</v>
      </c>
      <c r="D527" s="1">
        <v>6.0</v>
      </c>
      <c r="E527" s="1" t="s">
        <v>184</v>
      </c>
      <c r="F527" s="4">
        <v>1.0</v>
      </c>
      <c r="G527" s="4">
        <v>1.0</v>
      </c>
      <c r="H527" s="4">
        <v>4.0</v>
      </c>
      <c r="I527" s="4">
        <v>0.0</v>
      </c>
      <c r="J527" s="1">
        <v>4.0</v>
      </c>
      <c r="K527" s="1">
        <v>0.0</v>
      </c>
      <c r="L527" s="1">
        <v>0.0</v>
      </c>
      <c r="M527" s="1">
        <v>2.0</v>
      </c>
      <c r="N527" s="1">
        <v>2.0</v>
      </c>
      <c r="O527" s="1">
        <v>2.0</v>
      </c>
      <c r="P527" s="1">
        <v>2.0</v>
      </c>
      <c r="Q527" s="1"/>
      <c r="R527" s="1"/>
      <c r="S527" s="1">
        <v>20.0</v>
      </c>
      <c r="T527" s="1" t="s">
        <v>34</v>
      </c>
      <c r="U527" s="7">
        <v>4.0</v>
      </c>
      <c r="V527" s="7">
        <v>4.0</v>
      </c>
      <c r="W527" s="7">
        <v>8.0</v>
      </c>
    </row>
    <row r="528">
      <c r="A528" s="3">
        <v>46250.89869212963</v>
      </c>
      <c r="B528" s="1" t="s">
        <v>1088</v>
      </c>
      <c r="C528" s="1" t="s">
        <v>191</v>
      </c>
      <c r="D528" s="1">
        <v>6.0</v>
      </c>
      <c r="E528" s="1" t="s">
        <v>192</v>
      </c>
      <c r="F528" s="4">
        <v>1.0</v>
      </c>
      <c r="G528" s="4">
        <v>4.0</v>
      </c>
      <c r="H528" s="4">
        <v>1.0</v>
      </c>
      <c r="I528" s="4">
        <v>0.0</v>
      </c>
      <c r="J528" s="1">
        <v>6.0</v>
      </c>
      <c r="K528" s="1">
        <v>2.0</v>
      </c>
      <c r="L528" s="1">
        <v>0.0</v>
      </c>
      <c r="M528" s="1">
        <v>1.0</v>
      </c>
      <c r="N528" s="1">
        <v>4.0</v>
      </c>
      <c r="O528" s="1">
        <v>4.0</v>
      </c>
      <c r="P528" s="1">
        <v>0.0</v>
      </c>
      <c r="Q528" s="1"/>
      <c r="R528" s="1"/>
      <c r="S528" s="1">
        <v>30.0</v>
      </c>
      <c r="T528" s="1" t="s">
        <v>28</v>
      </c>
      <c r="U528" s="7">
        <v>1.0</v>
      </c>
      <c r="V528" s="7">
        <v>8.0</v>
      </c>
      <c r="W528" s="7">
        <v>1.0</v>
      </c>
    </row>
    <row r="529">
      <c r="A529" s="3">
        <v>46250.90859953704</v>
      </c>
      <c r="B529" s="1" t="s">
        <v>1089</v>
      </c>
      <c r="C529" s="1" t="s">
        <v>187</v>
      </c>
      <c r="D529" s="1">
        <v>6.0</v>
      </c>
      <c r="E529" s="1" t="s">
        <v>184</v>
      </c>
      <c r="F529" s="4">
        <v>3.0</v>
      </c>
      <c r="G529" s="4">
        <v>1.0</v>
      </c>
      <c r="H529" s="4">
        <v>2.0</v>
      </c>
      <c r="I529" s="4">
        <v>0.0</v>
      </c>
      <c r="J529" s="1">
        <v>3.0</v>
      </c>
      <c r="K529" s="1">
        <v>-2.0</v>
      </c>
      <c r="L529" s="1">
        <v>-1.0</v>
      </c>
      <c r="M529" s="1">
        <v>2.0</v>
      </c>
      <c r="N529" s="1">
        <v>2.0</v>
      </c>
      <c r="O529" s="1">
        <v>2.0</v>
      </c>
      <c r="P529" s="1">
        <v>2.0</v>
      </c>
      <c r="Q529" s="1"/>
      <c r="R529" s="1"/>
      <c r="S529" s="1">
        <v>87.0</v>
      </c>
      <c r="T529" s="1" t="s">
        <v>28</v>
      </c>
      <c r="U529" s="7">
        <v>4.0</v>
      </c>
      <c r="V529" s="7">
        <v>4.0</v>
      </c>
      <c r="W529" s="7">
        <v>8.0</v>
      </c>
    </row>
    <row r="530">
      <c r="A530" s="3">
        <v>46250.954675925925</v>
      </c>
      <c r="B530" s="1" t="s">
        <v>1090</v>
      </c>
      <c r="C530" s="1" t="s">
        <v>59</v>
      </c>
      <c r="D530" s="1">
        <v>6.0</v>
      </c>
      <c r="E530" s="1" t="s">
        <v>52</v>
      </c>
      <c r="F530" s="4">
        <v>0.0</v>
      </c>
      <c r="G530" s="4">
        <v>2.0</v>
      </c>
      <c r="H530" s="4">
        <v>4.0</v>
      </c>
      <c r="I530" s="4">
        <v>0.0</v>
      </c>
      <c r="J530" s="1">
        <v>6.0</v>
      </c>
      <c r="K530" s="1">
        <v>1.0</v>
      </c>
      <c r="L530" s="1">
        <v>2.0</v>
      </c>
      <c r="M530" s="1">
        <v>1.0</v>
      </c>
      <c r="N530" s="1">
        <v>3.0</v>
      </c>
      <c r="O530" s="1">
        <v>3.0</v>
      </c>
      <c r="P530" s="1">
        <v>1.0</v>
      </c>
      <c r="Q530" s="1" t="s">
        <v>1091</v>
      </c>
      <c r="R530" s="1"/>
      <c r="S530" s="1">
        <v>685.0</v>
      </c>
      <c r="T530" s="1" t="s">
        <v>34</v>
      </c>
      <c r="U530" s="7">
        <v>2.0</v>
      </c>
      <c r="V530" s="7">
        <v>6.0</v>
      </c>
      <c r="W530" s="7">
        <v>4.0</v>
      </c>
    </row>
    <row r="531">
      <c r="A531" s="3">
        <v>46251.34361111111</v>
      </c>
      <c r="B531" s="1" t="s">
        <v>1092</v>
      </c>
      <c r="C531" s="1" t="s">
        <v>474</v>
      </c>
      <c r="D531" s="1">
        <v>6.0</v>
      </c>
      <c r="E531" s="1" t="s">
        <v>184</v>
      </c>
      <c r="F531" s="4">
        <v>3.0</v>
      </c>
      <c r="G531" s="4">
        <v>2.0</v>
      </c>
      <c r="H531" s="4">
        <v>1.0</v>
      </c>
      <c r="I531" s="4">
        <v>0.0</v>
      </c>
      <c r="J531" s="1">
        <v>4.0</v>
      </c>
      <c r="K531" s="1">
        <v>0.0</v>
      </c>
      <c r="L531" s="1">
        <v>0.0</v>
      </c>
      <c r="M531" s="1">
        <v>2.0</v>
      </c>
      <c r="N531" s="1">
        <v>2.0</v>
      </c>
      <c r="O531" s="1">
        <v>2.0</v>
      </c>
      <c r="P531" s="1">
        <v>2.0</v>
      </c>
      <c r="Q531" s="1"/>
      <c r="R531" s="1"/>
      <c r="S531" s="1">
        <v>19.0</v>
      </c>
      <c r="T531" s="1" t="s">
        <v>34</v>
      </c>
      <c r="U531" s="7">
        <v>4.0</v>
      </c>
      <c r="V531" s="7">
        <v>4.0</v>
      </c>
      <c r="W531" s="7">
        <v>8.0</v>
      </c>
    </row>
    <row r="532">
      <c r="A532" s="3">
        <v>46251.351111111115</v>
      </c>
      <c r="B532" s="1" t="s">
        <v>1093</v>
      </c>
      <c r="C532" s="1" t="s">
        <v>306</v>
      </c>
      <c r="D532" s="1">
        <v>6.0</v>
      </c>
      <c r="E532" s="1" t="s">
        <v>184</v>
      </c>
      <c r="F532" s="4">
        <v>2.0</v>
      </c>
      <c r="G532" s="4">
        <v>3.0</v>
      </c>
      <c r="H532" s="4">
        <v>1.0</v>
      </c>
      <c r="I532" s="4">
        <v>0.0</v>
      </c>
      <c r="J532" s="1">
        <v>6.0</v>
      </c>
      <c r="K532" s="1">
        <v>1.0</v>
      </c>
      <c r="L532" s="1">
        <v>-2.0</v>
      </c>
      <c r="M532" s="1">
        <v>2.0</v>
      </c>
      <c r="N532" s="1">
        <v>3.0</v>
      </c>
      <c r="O532" s="1">
        <v>2.0</v>
      </c>
      <c r="P532" s="1">
        <v>1.0</v>
      </c>
      <c r="Q532" s="1"/>
      <c r="R532" s="1"/>
      <c r="S532" s="1">
        <v>92.0</v>
      </c>
      <c r="T532" s="1" t="s">
        <v>34</v>
      </c>
      <c r="U532" s="7">
        <v>3.0</v>
      </c>
      <c r="V532" s="7">
        <v>5.0</v>
      </c>
      <c r="W532" s="7">
        <v>6.0</v>
      </c>
    </row>
    <row r="533">
      <c r="A533" s="3">
        <v>46251.371828703705</v>
      </c>
      <c r="B533" s="1" t="s">
        <v>1094</v>
      </c>
      <c r="C533" s="1" t="s">
        <v>440</v>
      </c>
      <c r="D533" s="1">
        <v>6.0</v>
      </c>
      <c r="E533" s="1" t="s">
        <v>184</v>
      </c>
      <c r="F533" s="4">
        <v>0.0</v>
      </c>
      <c r="G533" s="4">
        <v>3.0</v>
      </c>
      <c r="H533" s="4">
        <v>3.0</v>
      </c>
      <c r="I533" s="4">
        <v>0.0</v>
      </c>
      <c r="J533" s="1">
        <v>4.0</v>
      </c>
      <c r="K533" s="1">
        <v>0.0</v>
      </c>
      <c r="L533" s="1">
        <v>-2.0</v>
      </c>
      <c r="M533" s="1">
        <v>1.0</v>
      </c>
      <c r="N533" s="1">
        <v>3.0</v>
      </c>
      <c r="O533" s="1">
        <v>3.0</v>
      </c>
      <c r="P533" s="1">
        <v>2.0</v>
      </c>
      <c r="Q533" s="1"/>
      <c r="R533" s="1"/>
      <c r="S533" s="1">
        <v>103.0</v>
      </c>
      <c r="T533" s="1" t="s">
        <v>34</v>
      </c>
      <c r="U533" s="7">
        <v>3.0</v>
      </c>
      <c r="V533" s="7">
        <v>6.0</v>
      </c>
      <c r="W533" s="7">
        <v>5.0</v>
      </c>
    </row>
    <row r="534">
      <c r="A534" s="3">
        <v>46251.37594907408</v>
      </c>
      <c r="B534" s="1" t="s">
        <v>1096</v>
      </c>
      <c r="C534" s="1" t="s">
        <v>286</v>
      </c>
      <c r="D534" s="1">
        <v>6.0</v>
      </c>
      <c r="E534" s="1" t="s">
        <v>184</v>
      </c>
      <c r="F534" s="4">
        <v>1.0</v>
      </c>
      <c r="G534" s="4">
        <v>2.0</v>
      </c>
      <c r="H534" s="4">
        <v>3.0</v>
      </c>
      <c r="I534" s="4">
        <v>0.0</v>
      </c>
      <c r="J534" s="1">
        <v>4.0</v>
      </c>
      <c r="K534" s="1">
        <v>1.0</v>
      </c>
      <c r="L534" s="1">
        <v>-2.0</v>
      </c>
      <c r="M534" s="1">
        <v>2.0</v>
      </c>
      <c r="N534" s="1">
        <v>3.0</v>
      </c>
      <c r="O534" s="1">
        <v>3.0</v>
      </c>
      <c r="P534" s="1">
        <v>1.0</v>
      </c>
      <c r="Q534" s="1" t="s">
        <v>1097</v>
      </c>
      <c r="R534" s="1" t="s">
        <v>1098</v>
      </c>
      <c r="S534" s="1">
        <v>103.0</v>
      </c>
      <c r="T534" s="1" t="s">
        <v>34</v>
      </c>
      <c r="U534" s="7">
        <v>3.0</v>
      </c>
      <c r="V534" s="7">
        <v>6.0</v>
      </c>
      <c r="W534" s="7">
        <v>5.0</v>
      </c>
    </row>
    <row r="535">
      <c r="A535" s="3">
        <v>46251.37940972222</v>
      </c>
      <c r="B535" s="1" t="s">
        <v>1099</v>
      </c>
      <c r="C535" s="1" t="s">
        <v>659</v>
      </c>
      <c r="D535" s="1">
        <v>6.0</v>
      </c>
      <c r="E535" s="1" t="s">
        <v>102</v>
      </c>
      <c r="F535" s="4">
        <v>1.0</v>
      </c>
      <c r="G535" s="4">
        <v>2.0</v>
      </c>
      <c r="H535" s="4">
        <v>3.0</v>
      </c>
      <c r="I535" s="4">
        <v>0.0</v>
      </c>
      <c r="J535" s="1">
        <v>6.0</v>
      </c>
      <c r="K535" s="1">
        <v>2.0</v>
      </c>
      <c r="L535" s="1">
        <v>0.0</v>
      </c>
      <c r="M535" s="1">
        <v>1.0</v>
      </c>
      <c r="N535" s="1">
        <v>3.0</v>
      </c>
      <c r="O535" s="1">
        <v>2.0</v>
      </c>
      <c r="P535" s="1">
        <v>3.0</v>
      </c>
      <c r="Q535" s="1" t="s">
        <v>1100</v>
      </c>
      <c r="R535" s="1" t="s">
        <v>1101</v>
      </c>
      <c r="S535" s="1">
        <v>195.0</v>
      </c>
      <c r="T535" s="1" t="s">
        <v>34</v>
      </c>
      <c r="U535" s="7">
        <v>4.0</v>
      </c>
      <c r="V535" s="7">
        <v>5.0</v>
      </c>
      <c r="W535" s="7">
        <v>7.0</v>
      </c>
    </row>
    <row r="536">
      <c r="A536" s="3">
        <v>46251.38597222222</v>
      </c>
      <c r="B536" s="1" t="s">
        <v>1102</v>
      </c>
      <c r="C536" s="1" t="s">
        <v>133</v>
      </c>
      <c r="D536" s="1">
        <v>6.0</v>
      </c>
      <c r="E536" s="1" t="s">
        <v>90</v>
      </c>
      <c r="F536" s="4">
        <v>2.0</v>
      </c>
      <c r="G536" s="4">
        <v>2.0</v>
      </c>
      <c r="H536" s="4">
        <v>1.0</v>
      </c>
      <c r="I536" s="4">
        <v>1.0</v>
      </c>
      <c r="J536" s="1">
        <v>5.0</v>
      </c>
      <c r="K536" s="1">
        <v>-2.0</v>
      </c>
      <c r="L536" s="1">
        <v>2.0</v>
      </c>
      <c r="M536" s="1">
        <v>2.0</v>
      </c>
      <c r="N536" s="1">
        <v>3.0</v>
      </c>
      <c r="O536" s="1">
        <v>2.0</v>
      </c>
      <c r="P536" s="1">
        <v>2.0</v>
      </c>
      <c r="Q536" s="1"/>
      <c r="R536" s="1" t="s">
        <v>293</v>
      </c>
      <c r="S536" s="1">
        <v>200.0</v>
      </c>
      <c r="T536" s="1" t="s">
        <v>28</v>
      </c>
      <c r="U536" s="7">
        <v>4.0</v>
      </c>
      <c r="V536" s="7">
        <v>5.0</v>
      </c>
      <c r="W536" s="7">
        <v>7.0</v>
      </c>
    </row>
    <row r="537">
      <c r="A537" s="3">
        <v>46251.38930555555</v>
      </c>
      <c r="B537" s="1" t="s">
        <v>1103</v>
      </c>
      <c r="C537" s="1" t="s">
        <v>469</v>
      </c>
      <c r="D537" s="1">
        <v>6.0</v>
      </c>
      <c r="E537" s="1" t="s">
        <v>184</v>
      </c>
      <c r="F537" s="4">
        <v>0.0</v>
      </c>
      <c r="G537" s="4">
        <v>2.0</v>
      </c>
      <c r="H537" s="4">
        <v>3.0</v>
      </c>
      <c r="I537" s="4">
        <v>1.0</v>
      </c>
      <c r="J537" s="1">
        <v>5.0</v>
      </c>
      <c r="K537" s="1">
        <v>1.0</v>
      </c>
      <c r="L537" s="1">
        <v>-3.0</v>
      </c>
      <c r="M537" s="1">
        <v>4.0</v>
      </c>
      <c r="N537" s="1">
        <v>3.0</v>
      </c>
      <c r="O537" s="1">
        <v>2.0</v>
      </c>
      <c r="P537" s="1">
        <v>0.0</v>
      </c>
      <c r="Q537" s="1"/>
      <c r="R537" s="1"/>
      <c r="S537" s="1">
        <v>85.0</v>
      </c>
      <c r="T537" s="1" t="s">
        <v>34</v>
      </c>
      <c r="U537" s="7">
        <v>4.0</v>
      </c>
      <c r="V537" s="7">
        <v>5.0</v>
      </c>
      <c r="W537" s="7">
        <v>7.0</v>
      </c>
    </row>
    <row r="538">
      <c r="A538" s="3">
        <v>46251.40773148148</v>
      </c>
      <c r="B538" s="1" t="s">
        <v>1104</v>
      </c>
      <c r="C538" s="1" t="s">
        <v>152</v>
      </c>
      <c r="D538" s="1">
        <v>6.0</v>
      </c>
      <c r="E538" s="1" t="s">
        <v>31</v>
      </c>
      <c r="F538" s="4">
        <v>2.0</v>
      </c>
      <c r="G538" s="4">
        <v>1.0</v>
      </c>
      <c r="H538" s="4">
        <v>3.0</v>
      </c>
      <c r="I538" s="4">
        <v>0.0</v>
      </c>
      <c r="J538" s="1">
        <v>2.0</v>
      </c>
      <c r="K538" s="1">
        <v>0.0</v>
      </c>
      <c r="L538" s="1">
        <v>0.0</v>
      </c>
      <c r="M538" s="1">
        <v>3.0</v>
      </c>
      <c r="N538" s="1">
        <v>3.0</v>
      </c>
      <c r="O538" s="1">
        <v>2.0</v>
      </c>
      <c r="P538" s="1">
        <v>2.0</v>
      </c>
      <c r="Q538" s="1"/>
      <c r="R538" s="1"/>
      <c r="S538" s="1">
        <v>47.0</v>
      </c>
      <c r="T538" s="1" t="s">
        <v>34</v>
      </c>
      <c r="U538" s="7">
        <v>5.0</v>
      </c>
      <c r="V538" s="7">
        <v>5.0</v>
      </c>
      <c r="W538" s="7">
        <v>8.0</v>
      </c>
    </row>
    <row r="539">
      <c r="A539" s="3">
        <v>46251.42622685185</v>
      </c>
      <c r="B539" s="1" t="s">
        <v>1105</v>
      </c>
      <c r="C539" s="1" t="s">
        <v>237</v>
      </c>
      <c r="D539" s="1">
        <v>6.0</v>
      </c>
      <c r="E539" s="1" t="s">
        <v>102</v>
      </c>
      <c r="F539" s="4">
        <v>3.0</v>
      </c>
      <c r="G539" s="4">
        <v>1.0</v>
      </c>
      <c r="H539" s="4">
        <v>2.0</v>
      </c>
      <c r="I539" s="4">
        <v>0.0</v>
      </c>
      <c r="J539" s="1">
        <v>2.0</v>
      </c>
      <c r="K539" s="1">
        <v>-1.0</v>
      </c>
      <c r="L539" s="1">
        <v>2.0</v>
      </c>
      <c r="M539" s="1">
        <v>3.0</v>
      </c>
      <c r="N539" s="1">
        <v>1.0</v>
      </c>
      <c r="O539" s="1">
        <v>3.0</v>
      </c>
      <c r="P539" s="1">
        <v>2.0</v>
      </c>
      <c r="Q539" s="1" t="s">
        <v>1106</v>
      </c>
      <c r="R539" s="1"/>
      <c r="S539" s="1">
        <v>210.0</v>
      </c>
      <c r="T539" s="1" t="s">
        <v>28</v>
      </c>
      <c r="U539" s="7">
        <v>5.0</v>
      </c>
      <c r="V539" s="7">
        <v>4.0</v>
      </c>
      <c r="W539" s="7">
        <v>9.0</v>
      </c>
    </row>
    <row r="540">
      <c r="A540" s="3">
        <v>46251.437002314815</v>
      </c>
      <c r="B540" s="1" t="s">
        <v>1107</v>
      </c>
      <c r="C540" s="1" t="s">
        <v>149</v>
      </c>
      <c r="D540" s="1">
        <v>6.0</v>
      </c>
      <c r="E540" s="1" t="s">
        <v>52</v>
      </c>
      <c r="F540" s="4">
        <v>1.0</v>
      </c>
      <c r="G540" s="4">
        <v>1.0</v>
      </c>
      <c r="H540" s="4">
        <v>1.0</v>
      </c>
      <c r="I540" s="4">
        <v>3.0</v>
      </c>
      <c r="J540" s="1">
        <v>5.0</v>
      </c>
      <c r="K540" s="1">
        <v>1.0</v>
      </c>
      <c r="L540" s="1">
        <v>-1.0</v>
      </c>
      <c r="M540" s="1">
        <v>0.0</v>
      </c>
      <c r="N540" s="1">
        <v>3.0</v>
      </c>
      <c r="O540" s="1">
        <v>3.0</v>
      </c>
      <c r="P540" s="1">
        <v>1.0</v>
      </c>
      <c r="Q540" s="1"/>
      <c r="R540" s="1" t="s">
        <v>1108</v>
      </c>
      <c r="S540" s="1">
        <v>1212.0</v>
      </c>
      <c r="T540" s="1" t="s">
        <v>34</v>
      </c>
      <c r="U540" s="7">
        <v>1.0</v>
      </c>
      <c r="V540" s="7">
        <v>6.0</v>
      </c>
      <c r="W540" s="7">
        <v>3.0</v>
      </c>
    </row>
    <row r="541">
      <c r="A541" s="3">
        <v>46251.512650462966</v>
      </c>
      <c r="B541" s="1" t="s">
        <v>1109</v>
      </c>
      <c r="C541" s="1" t="s">
        <v>257</v>
      </c>
      <c r="D541" s="1">
        <v>6.0</v>
      </c>
      <c r="E541" s="1" t="s">
        <v>184</v>
      </c>
      <c r="F541" s="4">
        <v>2.0</v>
      </c>
      <c r="G541" s="4">
        <v>2.0</v>
      </c>
      <c r="H541" s="4">
        <v>2.0</v>
      </c>
      <c r="I541" s="4">
        <v>0.0</v>
      </c>
      <c r="J541" s="1">
        <v>4.0</v>
      </c>
      <c r="K541" s="1">
        <v>0.0</v>
      </c>
      <c r="L541" s="1">
        <v>0.0</v>
      </c>
      <c r="M541" s="1">
        <v>2.0</v>
      </c>
      <c r="N541" s="1">
        <v>3.0</v>
      </c>
      <c r="O541" s="1">
        <v>2.0</v>
      </c>
      <c r="P541" s="1">
        <v>2.0</v>
      </c>
      <c r="Q541" s="1"/>
      <c r="R541" s="1"/>
      <c r="S541" s="1">
        <v>43.0</v>
      </c>
      <c r="T541" s="1" t="s">
        <v>34</v>
      </c>
      <c r="U541" s="7">
        <v>4.0</v>
      </c>
      <c r="V541" s="7">
        <v>5.0</v>
      </c>
      <c r="W541" s="7">
        <v>7.0</v>
      </c>
    </row>
    <row r="542">
      <c r="A542" s="3">
        <v>46251.55076388889</v>
      </c>
      <c r="B542" s="1" t="s">
        <v>1110</v>
      </c>
      <c r="C542" s="1" t="s">
        <v>492</v>
      </c>
      <c r="D542" s="1">
        <v>6.0</v>
      </c>
      <c r="E542" s="1" t="s">
        <v>184</v>
      </c>
      <c r="F542" s="4">
        <v>1.0</v>
      </c>
      <c r="G542" s="4">
        <v>3.0</v>
      </c>
      <c r="H542" s="4">
        <v>1.0</v>
      </c>
      <c r="I542" s="4">
        <v>1.0</v>
      </c>
      <c r="J542" s="1">
        <v>6.0</v>
      </c>
      <c r="K542" s="1">
        <v>1.0</v>
      </c>
      <c r="L542" s="1">
        <v>1.0</v>
      </c>
      <c r="M542" s="1">
        <v>2.0</v>
      </c>
      <c r="N542" s="1">
        <v>3.0</v>
      </c>
      <c r="O542" s="1">
        <v>3.0</v>
      </c>
      <c r="P542" s="1">
        <v>2.0</v>
      </c>
      <c r="Q542" s="1" t="s">
        <v>1111</v>
      </c>
      <c r="R542" s="1"/>
      <c r="S542" s="1">
        <v>52.0</v>
      </c>
      <c r="T542" s="1" t="s">
        <v>34</v>
      </c>
      <c r="U542" s="7">
        <v>4.0</v>
      </c>
      <c r="V542" s="7">
        <v>6.0</v>
      </c>
      <c r="W542" s="7">
        <v>6.0</v>
      </c>
    </row>
    <row r="543">
      <c r="A543" s="3">
        <v>46251.609085648146</v>
      </c>
      <c r="B543" s="1" t="s">
        <v>1112</v>
      </c>
      <c r="C543" s="1" t="s">
        <v>303</v>
      </c>
      <c r="D543" s="1">
        <v>6.0</v>
      </c>
      <c r="E543" s="1" t="s">
        <v>184</v>
      </c>
      <c r="F543" s="4">
        <v>1.0</v>
      </c>
      <c r="G543" s="4">
        <v>4.0</v>
      </c>
      <c r="H543" s="4">
        <v>1.0</v>
      </c>
      <c r="I543" s="4">
        <v>0.0</v>
      </c>
      <c r="J543" s="1">
        <v>7.0</v>
      </c>
      <c r="K543" s="1">
        <v>2.0</v>
      </c>
      <c r="L543" s="1">
        <v>1.0</v>
      </c>
      <c r="M543" s="1">
        <v>1.0</v>
      </c>
      <c r="N543" s="1">
        <v>3.0</v>
      </c>
      <c r="O543" s="1">
        <v>3.0</v>
      </c>
      <c r="P543" s="1">
        <v>1.0</v>
      </c>
      <c r="Q543" s="1" t="s">
        <v>1113</v>
      </c>
      <c r="R543" s="1"/>
      <c r="S543" s="1">
        <v>179.0</v>
      </c>
      <c r="T543" s="1" t="s">
        <v>34</v>
      </c>
      <c r="U543" s="7">
        <v>2.0</v>
      </c>
      <c r="V543" s="7">
        <v>6.0</v>
      </c>
      <c r="W543" s="7">
        <v>4.0</v>
      </c>
    </row>
    <row r="544">
      <c r="A544" s="3">
        <v>46251.62299768518</v>
      </c>
      <c r="B544" s="1" t="s">
        <v>1114</v>
      </c>
      <c r="C544" s="1" t="s">
        <v>266</v>
      </c>
      <c r="D544" s="1">
        <v>6.0</v>
      </c>
      <c r="E544" s="1" t="s">
        <v>184</v>
      </c>
      <c r="F544" s="4">
        <v>1.0</v>
      </c>
      <c r="G544" s="4">
        <v>3.0</v>
      </c>
      <c r="H544" s="4">
        <v>2.0</v>
      </c>
      <c r="I544" s="4">
        <v>0.0</v>
      </c>
      <c r="J544" s="1">
        <v>6.0</v>
      </c>
      <c r="K544" s="1">
        <v>0.0</v>
      </c>
      <c r="L544" s="1">
        <v>0.0</v>
      </c>
      <c r="M544" s="1">
        <v>0.0</v>
      </c>
      <c r="N544" s="1">
        <v>4.0</v>
      </c>
      <c r="O544" s="1">
        <v>3.0</v>
      </c>
      <c r="P544" s="1">
        <v>0.0</v>
      </c>
      <c r="Q544" s="1"/>
      <c r="R544" s="1"/>
      <c r="S544" s="1">
        <v>111.0</v>
      </c>
      <c r="T544" s="1" t="s">
        <v>34</v>
      </c>
      <c r="U544" s="7">
        <v>0.0</v>
      </c>
      <c r="V544" s="7">
        <v>7.0</v>
      </c>
      <c r="W544" s="7">
        <v>1.0</v>
      </c>
    </row>
    <row r="545">
      <c r="A545" s="3">
        <v>46251.63512731482</v>
      </c>
      <c r="B545" s="1" t="s">
        <v>1115</v>
      </c>
      <c r="C545" s="1" t="s">
        <v>453</v>
      </c>
      <c r="D545" s="1">
        <v>6.0</v>
      </c>
      <c r="E545" s="1" t="s">
        <v>184</v>
      </c>
      <c r="F545" s="4">
        <v>3.0</v>
      </c>
      <c r="G545" s="4">
        <v>1.0</v>
      </c>
      <c r="H545" s="4">
        <v>2.0</v>
      </c>
      <c r="I545" s="4">
        <v>0.0</v>
      </c>
      <c r="J545" s="1">
        <v>4.0</v>
      </c>
      <c r="K545" s="1">
        <v>-1.0</v>
      </c>
      <c r="L545" s="1">
        <v>2.0</v>
      </c>
      <c r="M545" s="1">
        <v>3.0</v>
      </c>
      <c r="N545" s="1">
        <v>2.0</v>
      </c>
      <c r="O545" s="1">
        <v>1.0</v>
      </c>
      <c r="P545" s="1">
        <v>3.0</v>
      </c>
      <c r="Q545" s="1" t="s">
        <v>1116</v>
      </c>
      <c r="R545" s="1"/>
      <c r="S545" s="1">
        <v>142.0</v>
      </c>
      <c r="T545" s="1" t="s">
        <v>34</v>
      </c>
      <c r="U545" s="7">
        <v>6.0</v>
      </c>
      <c r="V545" s="7">
        <v>3.0</v>
      </c>
      <c r="W545" s="7">
        <v>11.0</v>
      </c>
    </row>
    <row r="546">
      <c r="A546" s="3">
        <v>46251.68876157407</v>
      </c>
      <c r="B546" s="1" t="s">
        <v>1117</v>
      </c>
      <c r="C546" s="1" t="s">
        <v>274</v>
      </c>
      <c r="D546" s="1">
        <v>6.0</v>
      </c>
      <c r="E546" s="1" t="s">
        <v>192</v>
      </c>
      <c r="F546" s="4">
        <v>3.0</v>
      </c>
      <c r="G546" s="4">
        <v>2.0</v>
      </c>
      <c r="H546" s="4">
        <v>1.0</v>
      </c>
      <c r="I546" s="4">
        <v>0.0</v>
      </c>
      <c r="J546" s="1">
        <v>3.0</v>
      </c>
      <c r="K546" s="1">
        <v>-2.0</v>
      </c>
      <c r="L546" s="1">
        <v>-2.0</v>
      </c>
      <c r="M546" s="1">
        <v>1.0</v>
      </c>
      <c r="N546" s="1">
        <v>2.0</v>
      </c>
      <c r="O546" s="1">
        <v>1.0</v>
      </c>
      <c r="P546" s="1">
        <v>2.0</v>
      </c>
      <c r="Q546" s="1" t="s">
        <v>1118</v>
      </c>
      <c r="R546" s="1" t="s">
        <v>1119</v>
      </c>
      <c r="S546" s="1">
        <v>281.0</v>
      </c>
      <c r="T546" s="1" t="s">
        <v>34</v>
      </c>
      <c r="U546" s="7">
        <v>3.0</v>
      </c>
      <c r="V546" s="7">
        <v>3.0</v>
      </c>
      <c r="W546" s="7">
        <v>8.0</v>
      </c>
    </row>
    <row r="547">
      <c r="A547" s="3">
        <v>46251.7412962963</v>
      </c>
      <c r="B547" s="1" t="s">
        <v>1120</v>
      </c>
      <c r="C547" s="1" t="s">
        <v>211</v>
      </c>
      <c r="D547" s="1">
        <v>6.0</v>
      </c>
      <c r="E547" s="1" t="s">
        <v>184</v>
      </c>
      <c r="F547" s="4">
        <v>2.0</v>
      </c>
      <c r="G547" s="4">
        <v>1.0</v>
      </c>
      <c r="H547" s="4">
        <v>3.0</v>
      </c>
      <c r="I547" s="4">
        <v>0.0</v>
      </c>
      <c r="J547" s="1">
        <v>4.0</v>
      </c>
      <c r="K547" s="1">
        <v>-1.0</v>
      </c>
      <c r="L547" s="1">
        <v>2.0</v>
      </c>
      <c r="M547" s="1">
        <v>0.0</v>
      </c>
      <c r="N547" s="1">
        <v>4.0</v>
      </c>
      <c r="O547" s="1">
        <v>4.0</v>
      </c>
      <c r="P547" s="1">
        <v>0.0</v>
      </c>
      <c r="Q547" s="1"/>
      <c r="R547" s="1"/>
      <c r="S547" s="1">
        <v>48.0</v>
      </c>
      <c r="T547" s="1" t="s">
        <v>34</v>
      </c>
      <c r="U547" s="7">
        <v>0.0</v>
      </c>
      <c r="V547" s="7">
        <v>8.0</v>
      </c>
      <c r="W547" s="7">
        <v>0.0</v>
      </c>
    </row>
    <row r="548">
      <c r="A548" s="3">
        <v>46251.74778935185</v>
      </c>
      <c r="B548" s="1" t="s">
        <v>1121</v>
      </c>
      <c r="C548" s="1" t="s">
        <v>30</v>
      </c>
      <c r="D548" s="1">
        <v>6.0</v>
      </c>
      <c r="E548" s="1" t="s">
        <v>31</v>
      </c>
      <c r="F548" s="4">
        <v>3.0</v>
      </c>
      <c r="G548" s="4">
        <v>1.0</v>
      </c>
      <c r="H548" s="4">
        <v>2.0</v>
      </c>
      <c r="I548" s="4">
        <v>0.0</v>
      </c>
      <c r="J548" s="1">
        <v>3.0</v>
      </c>
      <c r="K548" s="1">
        <v>-1.0</v>
      </c>
      <c r="L548" s="1">
        <v>-2.0</v>
      </c>
      <c r="M548" s="1">
        <v>2.0</v>
      </c>
      <c r="N548" s="1">
        <v>3.0</v>
      </c>
      <c r="O548" s="1">
        <v>2.0</v>
      </c>
      <c r="P548" s="1">
        <v>2.0</v>
      </c>
      <c r="Q548" s="1" t="s">
        <v>1122</v>
      </c>
      <c r="R548" s="1"/>
      <c r="S548" s="1">
        <v>205.0</v>
      </c>
      <c r="T548" s="1" t="s">
        <v>34</v>
      </c>
      <c r="U548" s="7">
        <v>4.0</v>
      </c>
      <c r="V548" s="7">
        <v>5.0</v>
      </c>
      <c r="W548" s="7">
        <v>7.0</v>
      </c>
    </row>
    <row r="549">
      <c r="A549" s="3">
        <v>46251.77071759259</v>
      </c>
      <c r="B549" s="1" t="s">
        <v>1123</v>
      </c>
      <c r="C549" s="1" t="s">
        <v>393</v>
      </c>
      <c r="D549" s="1">
        <v>6.0</v>
      </c>
      <c r="E549" s="1" t="s">
        <v>184</v>
      </c>
      <c r="F549" s="4">
        <v>0.0</v>
      </c>
      <c r="G549" s="4">
        <v>2.0</v>
      </c>
      <c r="H549" s="4">
        <v>4.0</v>
      </c>
      <c r="I549" s="4">
        <v>0.0</v>
      </c>
      <c r="J549" s="1">
        <v>6.0</v>
      </c>
      <c r="K549" s="1">
        <v>2.0</v>
      </c>
      <c r="L549" s="1">
        <v>-2.0</v>
      </c>
      <c r="M549" s="1">
        <v>1.0</v>
      </c>
      <c r="N549" s="1">
        <v>3.0</v>
      </c>
      <c r="O549" s="1">
        <v>3.0</v>
      </c>
      <c r="P549" s="1">
        <v>1.0</v>
      </c>
      <c r="Q549" s="1" t="s">
        <v>1124</v>
      </c>
      <c r="R549" s="1"/>
      <c r="S549" s="1">
        <v>760.0</v>
      </c>
      <c r="T549" s="1" t="s">
        <v>28</v>
      </c>
      <c r="U549" s="7">
        <v>2.0</v>
      </c>
      <c r="V549" s="7">
        <v>6.0</v>
      </c>
      <c r="W549" s="7">
        <v>4.0</v>
      </c>
    </row>
    <row r="550">
      <c r="A550" s="3">
        <v>46251.795636574076</v>
      </c>
      <c r="B550" s="1" t="s">
        <v>1125</v>
      </c>
      <c r="C550" s="1" t="s">
        <v>423</v>
      </c>
      <c r="D550" s="1">
        <v>6.0</v>
      </c>
      <c r="E550" s="1" t="s">
        <v>49</v>
      </c>
      <c r="F550" s="4">
        <v>2.0</v>
      </c>
      <c r="G550" s="4">
        <v>1.0</v>
      </c>
      <c r="H550" s="4">
        <v>3.0</v>
      </c>
      <c r="I550" s="4">
        <v>0.0</v>
      </c>
      <c r="J550" s="1">
        <v>6.0</v>
      </c>
      <c r="K550" s="1">
        <v>2.0</v>
      </c>
      <c r="L550" s="1">
        <v>-2.0</v>
      </c>
      <c r="M550" s="1">
        <v>2.0</v>
      </c>
      <c r="N550" s="1">
        <v>3.0</v>
      </c>
      <c r="O550" s="1">
        <v>2.0</v>
      </c>
      <c r="P550" s="1">
        <v>1.0</v>
      </c>
      <c r="Q550" s="1" t="s">
        <v>1126</v>
      </c>
      <c r="R550" s="1"/>
      <c r="S550" s="1">
        <v>224.0</v>
      </c>
      <c r="T550" s="1" t="s">
        <v>28</v>
      </c>
      <c r="U550" s="7">
        <v>3.0</v>
      </c>
      <c r="V550" s="7">
        <v>5.0</v>
      </c>
      <c r="W550" s="7">
        <v>6.0</v>
      </c>
    </row>
    <row r="551">
      <c r="A551" s="3">
        <v>46251.82340277778</v>
      </c>
      <c r="B551" s="1" t="s">
        <v>1127</v>
      </c>
      <c r="C551" s="1" t="s">
        <v>175</v>
      </c>
      <c r="D551" s="1">
        <v>6.0</v>
      </c>
      <c r="E551" s="1" t="s">
        <v>90</v>
      </c>
      <c r="F551" s="4">
        <v>4.0</v>
      </c>
      <c r="G551" s="4">
        <v>0.0</v>
      </c>
      <c r="H551" s="4">
        <v>2.0</v>
      </c>
      <c r="I551" s="4">
        <v>0.0</v>
      </c>
      <c r="J551" s="1">
        <v>3.0</v>
      </c>
      <c r="K551" s="1">
        <v>-2.0</v>
      </c>
      <c r="L551" s="1">
        <v>3.0</v>
      </c>
      <c r="M551" s="1">
        <v>2.0</v>
      </c>
      <c r="N551" s="1">
        <v>2.0</v>
      </c>
      <c r="O551" s="1">
        <v>2.0</v>
      </c>
      <c r="P551" s="1">
        <v>1.0</v>
      </c>
      <c r="Q551" s="1"/>
      <c r="R551" s="1"/>
      <c r="S551" s="1">
        <v>99.0</v>
      </c>
      <c r="T551" s="1" t="s">
        <v>28</v>
      </c>
      <c r="U551" s="7">
        <v>3.0</v>
      </c>
      <c r="V551" s="7">
        <v>4.0</v>
      </c>
      <c r="W551" s="7">
        <v>7.0</v>
      </c>
    </row>
    <row r="552">
      <c r="A552" s="3">
        <v>46251.83814814815</v>
      </c>
      <c r="B552" s="1" t="s">
        <v>1129</v>
      </c>
      <c r="C552" s="1" t="s">
        <v>387</v>
      </c>
      <c r="D552" s="1">
        <v>6.0</v>
      </c>
      <c r="E552" s="1" t="s">
        <v>192</v>
      </c>
      <c r="F552" s="4">
        <v>1.0</v>
      </c>
      <c r="G552" s="4">
        <v>2.0</v>
      </c>
      <c r="H552" s="4">
        <v>3.0</v>
      </c>
      <c r="I552" s="4">
        <v>0.0</v>
      </c>
      <c r="J552" s="1">
        <v>5.0</v>
      </c>
      <c r="K552" s="1">
        <v>1.0</v>
      </c>
      <c r="L552" s="1">
        <v>2.0</v>
      </c>
      <c r="M552" s="1">
        <v>2.0</v>
      </c>
      <c r="N552" s="1">
        <v>3.0</v>
      </c>
      <c r="O552" s="1">
        <v>3.0</v>
      </c>
      <c r="P552" s="1">
        <v>2.0</v>
      </c>
      <c r="Q552" s="1" t="s">
        <v>1130</v>
      </c>
      <c r="R552" s="1" t="s">
        <v>1131</v>
      </c>
      <c r="S552" s="1">
        <v>169.0</v>
      </c>
      <c r="T552" s="1" t="s">
        <v>28</v>
      </c>
      <c r="U552" s="7">
        <v>4.0</v>
      </c>
      <c r="V552" s="7">
        <v>6.0</v>
      </c>
      <c r="W552" s="7">
        <v>6.0</v>
      </c>
    </row>
    <row r="553">
      <c r="A553" s="3">
        <v>46251.88888888889</v>
      </c>
      <c r="B553" s="1" t="s">
        <v>1132</v>
      </c>
      <c r="C553" s="1" t="s">
        <v>295</v>
      </c>
      <c r="D553" s="1">
        <v>6.0</v>
      </c>
      <c r="E553" s="1" t="s">
        <v>192</v>
      </c>
      <c r="F553" s="4">
        <v>3.0</v>
      </c>
      <c r="G553" s="4">
        <v>1.0</v>
      </c>
      <c r="H553" s="4">
        <v>2.0</v>
      </c>
      <c r="I553" s="4">
        <v>0.0</v>
      </c>
      <c r="J553" s="1">
        <v>5.0</v>
      </c>
      <c r="K553" s="1">
        <v>-2.0</v>
      </c>
      <c r="L553" s="1">
        <v>-1.0</v>
      </c>
      <c r="M553" s="1">
        <v>1.0</v>
      </c>
      <c r="N553" s="1">
        <v>2.0</v>
      </c>
      <c r="O553" s="1">
        <v>2.0</v>
      </c>
      <c r="P553" s="1">
        <v>2.0</v>
      </c>
      <c r="Q553" s="1"/>
      <c r="R553" s="1"/>
      <c r="S553" s="1">
        <v>102.0</v>
      </c>
      <c r="T553" s="1" t="s">
        <v>28</v>
      </c>
      <c r="U553" s="7">
        <v>3.0</v>
      </c>
      <c r="V553" s="7">
        <v>4.0</v>
      </c>
      <c r="W553" s="7">
        <v>7.0</v>
      </c>
    </row>
    <row r="554">
      <c r="A554" s="3">
        <v>46251.891168981485</v>
      </c>
      <c r="B554" s="1" t="s">
        <v>1133</v>
      </c>
      <c r="C554" s="1" t="s">
        <v>295</v>
      </c>
      <c r="D554" s="1">
        <v>6.0</v>
      </c>
      <c r="E554" s="1" t="s">
        <v>192</v>
      </c>
      <c r="F554" s="4">
        <v>3.0</v>
      </c>
      <c r="G554" s="4">
        <v>1.0</v>
      </c>
      <c r="H554" s="4">
        <v>2.0</v>
      </c>
      <c r="I554" s="4">
        <v>0.0</v>
      </c>
      <c r="J554" s="1">
        <v>5.0</v>
      </c>
      <c r="K554" s="1">
        <v>-2.0</v>
      </c>
      <c r="L554" s="1">
        <v>-1.0</v>
      </c>
      <c r="M554" s="1">
        <v>1.0</v>
      </c>
      <c r="N554" s="1">
        <v>3.0</v>
      </c>
      <c r="O554" s="1">
        <v>2.0</v>
      </c>
      <c r="P554" s="1">
        <v>1.0</v>
      </c>
      <c r="Q554" s="1"/>
      <c r="R554" s="1"/>
      <c r="S554" s="1">
        <v>53.0</v>
      </c>
      <c r="T554" s="1" t="s">
        <v>28</v>
      </c>
      <c r="U554" s="7">
        <v>2.0</v>
      </c>
      <c r="V554" s="7">
        <v>5.0</v>
      </c>
      <c r="W554" s="7">
        <v>5.0</v>
      </c>
    </row>
    <row r="555">
      <c r="A555" s="3">
        <v>46251.95851851852</v>
      </c>
      <c r="B555" s="1" t="s">
        <v>1134</v>
      </c>
      <c r="C555" s="1" t="s">
        <v>200</v>
      </c>
      <c r="D555" s="1">
        <v>6.0</v>
      </c>
      <c r="E555" s="1" t="s">
        <v>184</v>
      </c>
      <c r="F555" s="4">
        <v>0.0</v>
      </c>
      <c r="G555" s="4">
        <v>5.0</v>
      </c>
      <c r="H555" s="4">
        <v>1.0</v>
      </c>
      <c r="I555" s="4">
        <v>0.0</v>
      </c>
      <c r="J555" s="1">
        <v>7.0</v>
      </c>
      <c r="K555" s="1">
        <v>3.0</v>
      </c>
      <c r="L555" s="1">
        <v>-3.0</v>
      </c>
      <c r="M555" s="1">
        <v>0.0</v>
      </c>
      <c r="N555" s="1">
        <v>4.0</v>
      </c>
      <c r="O555" s="1">
        <v>4.0</v>
      </c>
      <c r="P555" s="1">
        <v>1.0</v>
      </c>
      <c r="Q555" s="1"/>
      <c r="R555" s="1"/>
      <c r="S555" s="1">
        <v>226.0</v>
      </c>
      <c r="T555" s="1" t="s">
        <v>28</v>
      </c>
      <c r="U555" s="7">
        <v>1.0</v>
      </c>
      <c r="V555" s="7">
        <v>8.0</v>
      </c>
      <c r="W555" s="7">
        <v>1.0</v>
      </c>
    </row>
    <row r="556">
      <c r="A556" s="3">
        <v>46252.35822916667</v>
      </c>
      <c r="B556" s="1" t="s">
        <v>1135</v>
      </c>
      <c r="C556" s="1" t="s">
        <v>1136</v>
      </c>
      <c r="D556" s="1">
        <v>6.0</v>
      </c>
      <c r="E556" s="1" t="s">
        <v>184</v>
      </c>
      <c r="F556" s="4">
        <v>1.0</v>
      </c>
      <c r="G556" s="4">
        <v>2.0</v>
      </c>
      <c r="H556" s="4">
        <v>3.0</v>
      </c>
      <c r="I556" s="4">
        <v>0.0</v>
      </c>
      <c r="J556" s="1">
        <v>5.0</v>
      </c>
      <c r="K556" s="1">
        <v>1.0</v>
      </c>
      <c r="L556" s="1">
        <v>-1.0</v>
      </c>
      <c r="M556" s="1">
        <v>2.0</v>
      </c>
      <c r="N556" s="1">
        <v>3.0</v>
      </c>
      <c r="O556" s="1">
        <v>3.0</v>
      </c>
      <c r="P556" s="1">
        <v>2.0</v>
      </c>
      <c r="Q556" s="1"/>
      <c r="R556" s="1"/>
      <c r="S556" s="1">
        <v>94.0</v>
      </c>
      <c r="T556" s="1" t="s">
        <v>28</v>
      </c>
      <c r="U556" s="7">
        <v>4.0</v>
      </c>
      <c r="V556" s="7">
        <v>6.0</v>
      </c>
      <c r="W556" s="7">
        <v>6.0</v>
      </c>
    </row>
    <row r="557">
      <c r="A557" s="3">
        <v>46252.42107638889</v>
      </c>
      <c r="B557" s="1" t="s">
        <v>1137</v>
      </c>
      <c r="C557" s="1" t="s">
        <v>377</v>
      </c>
      <c r="D557" s="1">
        <v>6.0</v>
      </c>
      <c r="E557" s="1" t="s">
        <v>184</v>
      </c>
      <c r="F557" s="4">
        <v>2.0</v>
      </c>
      <c r="G557" s="4">
        <v>1.0</v>
      </c>
      <c r="H557" s="4">
        <v>3.0</v>
      </c>
      <c r="I557" s="4">
        <v>0.0</v>
      </c>
      <c r="J557" s="1">
        <v>5.0</v>
      </c>
      <c r="K557" s="1">
        <v>0.0</v>
      </c>
      <c r="L557" s="1">
        <v>0.0</v>
      </c>
      <c r="M557" s="1">
        <v>1.0</v>
      </c>
      <c r="N557" s="1">
        <v>4.0</v>
      </c>
      <c r="O557" s="1">
        <v>3.0</v>
      </c>
      <c r="P557" s="1">
        <v>1.0</v>
      </c>
      <c r="Q557" s="1"/>
      <c r="R557" s="1"/>
      <c r="S557" s="1">
        <v>46.0</v>
      </c>
      <c r="T557" s="1" t="s">
        <v>28</v>
      </c>
      <c r="U557" s="7">
        <v>2.0</v>
      </c>
      <c r="V557" s="7">
        <v>7.0</v>
      </c>
      <c r="W557" s="7">
        <v>3.0</v>
      </c>
    </row>
    <row r="558">
      <c r="A558" s="3">
        <v>46253.33665509259</v>
      </c>
      <c r="B558" s="1" t="s">
        <v>1138</v>
      </c>
      <c r="C558" s="1" t="s">
        <v>206</v>
      </c>
      <c r="D558" s="1">
        <v>6.0</v>
      </c>
      <c r="E558" s="1" t="s">
        <v>192</v>
      </c>
      <c r="F558" s="4">
        <v>4.0</v>
      </c>
      <c r="G558" s="4">
        <v>1.0</v>
      </c>
      <c r="H558" s="4">
        <v>1.0</v>
      </c>
      <c r="I558" s="4">
        <v>0.0</v>
      </c>
      <c r="J558" s="1">
        <v>4.0</v>
      </c>
      <c r="K558" s="1">
        <v>0.0</v>
      </c>
      <c r="L558" s="1">
        <v>0.0</v>
      </c>
      <c r="M558" s="1">
        <v>3.0</v>
      </c>
      <c r="N558" s="1">
        <v>2.0</v>
      </c>
      <c r="O558" s="1">
        <v>2.0</v>
      </c>
      <c r="P558" s="1">
        <v>2.0</v>
      </c>
      <c r="Q558" s="1"/>
      <c r="R558" s="1"/>
      <c r="S558" s="1">
        <v>46.0</v>
      </c>
      <c r="T558" s="1" t="s">
        <v>28</v>
      </c>
      <c r="U558" s="7">
        <v>5.0</v>
      </c>
      <c r="V558" s="7">
        <v>4.0</v>
      </c>
      <c r="W558" s="7">
        <v>9.0</v>
      </c>
    </row>
    <row r="559">
      <c r="A559" s="3">
        <v>46253.4021875</v>
      </c>
      <c r="B559" s="1" t="s">
        <v>1139</v>
      </c>
      <c r="C559" s="1" t="s">
        <v>259</v>
      </c>
      <c r="D559" s="1">
        <v>6.0</v>
      </c>
      <c r="E559" s="1" t="s">
        <v>184</v>
      </c>
      <c r="F559" s="4">
        <v>0.0</v>
      </c>
      <c r="G559" s="4">
        <v>3.0</v>
      </c>
      <c r="H559" s="4">
        <v>3.0</v>
      </c>
      <c r="I559" s="4">
        <v>0.0</v>
      </c>
      <c r="J559" s="1">
        <v>7.0</v>
      </c>
      <c r="K559" s="1">
        <v>2.0</v>
      </c>
      <c r="L559" s="1">
        <v>0.0</v>
      </c>
      <c r="M559" s="1">
        <v>2.0</v>
      </c>
      <c r="N559" s="1">
        <v>4.0</v>
      </c>
      <c r="O559" s="1">
        <v>3.0</v>
      </c>
      <c r="P559" s="1">
        <v>0.0</v>
      </c>
      <c r="Q559" s="1" t="s">
        <v>1140</v>
      </c>
      <c r="R559" s="1" t="s">
        <v>1141</v>
      </c>
      <c r="S559" s="1">
        <v>3450.0</v>
      </c>
      <c r="T559" s="1" t="s">
        <v>34</v>
      </c>
      <c r="U559" s="7">
        <v>2.0</v>
      </c>
      <c r="V559" s="7">
        <v>7.0</v>
      </c>
      <c r="W559" s="7">
        <v>3.0</v>
      </c>
    </row>
    <row r="560">
      <c r="A560" s="3">
        <v>46253.66962962963</v>
      </c>
      <c r="B560" s="1" t="s">
        <v>1142</v>
      </c>
      <c r="C560" s="1" t="s">
        <v>89</v>
      </c>
      <c r="D560" s="1">
        <v>6.0</v>
      </c>
      <c r="E560" s="1" t="s">
        <v>90</v>
      </c>
      <c r="F560" s="4">
        <v>5.0</v>
      </c>
      <c r="G560" s="4">
        <v>0.0</v>
      </c>
      <c r="H560" s="4">
        <v>1.0</v>
      </c>
      <c r="I560" s="4">
        <v>0.0</v>
      </c>
      <c r="J560" s="1">
        <v>4.0</v>
      </c>
      <c r="K560" s="1">
        <v>-2.0</v>
      </c>
      <c r="L560" s="1">
        <v>-3.0</v>
      </c>
      <c r="M560" s="1">
        <v>3.0</v>
      </c>
      <c r="N560" s="1">
        <v>1.0</v>
      </c>
      <c r="O560" s="1">
        <v>2.0</v>
      </c>
      <c r="P560" s="1">
        <v>2.0</v>
      </c>
      <c r="Q560" s="1"/>
      <c r="R560" s="1"/>
      <c r="S560" s="1">
        <v>60.0</v>
      </c>
      <c r="T560" s="1" t="s">
        <v>34</v>
      </c>
      <c r="U560" s="7">
        <v>5.0</v>
      </c>
      <c r="V560" s="7">
        <v>3.0</v>
      </c>
      <c r="W560" s="7">
        <v>10.0</v>
      </c>
    </row>
    <row r="561">
      <c r="A561" s="3">
        <v>46254.479791666665</v>
      </c>
      <c r="B561" s="1" t="s">
        <v>1143</v>
      </c>
      <c r="C561" s="1" t="s">
        <v>111</v>
      </c>
      <c r="D561" s="1">
        <v>6.0</v>
      </c>
      <c r="E561" s="1" t="s">
        <v>184</v>
      </c>
      <c r="F561" s="4">
        <v>0.0</v>
      </c>
      <c r="G561" s="4">
        <v>3.0</v>
      </c>
      <c r="H561" s="4">
        <v>3.0</v>
      </c>
      <c r="I561" s="4">
        <v>0.0</v>
      </c>
      <c r="J561" s="1">
        <v>6.0</v>
      </c>
      <c r="K561" s="1">
        <v>2.0</v>
      </c>
      <c r="L561" s="1">
        <v>1.0</v>
      </c>
      <c r="M561" s="1">
        <v>2.0</v>
      </c>
      <c r="N561" s="1">
        <v>2.0</v>
      </c>
      <c r="O561" s="1">
        <v>2.0</v>
      </c>
      <c r="P561" s="1">
        <v>3.0</v>
      </c>
      <c r="Q561" s="1"/>
      <c r="R561" s="1"/>
      <c r="S561" s="1">
        <v>47.0</v>
      </c>
      <c r="T561" s="1" t="s">
        <v>28</v>
      </c>
      <c r="U561" s="7">
        <v>5.0</v>
      </c>
      <c r="V561" s="7">
        <v>4.0</v>
      </c>
      <c r="W561" s="7">
        <v>9.0</v>
      </c>
    </row>
    <row r="562">
      <c r="A562" s="3">
        <v>46257.37231481481</v>
      </c>
      <c r="B562" s="1" t="s">
        <v>1144</v>
      </c>
      <c r="C562" s="1" t="s">
        <v>191</v>
      </c>
      <c r="D562" s="1">
        <v>7.0</v>
      </c>
      <c r="E562" s="1" t="s">
        <v>192</v>
      </c>
      <c r="F562" s="4">
        <v>1.0</v>
      </c>
      <c r="G562" s="4">
        <v>2.0</v>
      </c>
      <c r="H562" s="4">
        <v>3.0</v>
      </c>
      <c r="I562" s="4">
        <v>0.0</v>
      </c>
      <c r="J562" s="1">
        <v>5.0</v>
      </c>
      <c r="K562" s="1">
        <v>0.0</v>
      </c>
      <c r="L562" s="1">
        <v>2.0</v>
      </c>
      <c r="M562" s="1">
        <v>1.0</v>
      </c>
      <c r="N562" s="1">
        <v>3.0</v>
      </c>
      <c r="O562" s="1">
        <v>3.0</v>
      </c>
      <c r="P562" s="1">
        <v>1.0</v>
      </c>
      <c r="Q562" s="1"/>
      <c r="R562" s="1"/>
      <c r="S562" s="1">
        <v>63.0</v>
      </c>
      <c r="T562" s="1" t="s">
        <v>28</v>
      </c>
      <c r="U562" s="7">
        <v>2.0</v>
      </c>
      <c r="V562" s="7">
        <v>6.0</v>
      </c>
      <c r="W562" s="7">
        <v>4.0</v>
      </c>
    </row>
    <row r="563">
      <c r="A563" s="3">
        <v>46257.37657407407</v>
      </c>
      <c r="B563" s="1" t="s">
        <v>1145</v>
      </c>
      <c r="C563" s="1" t="s">
        <v>120</v>
      </c>
      <c r="D563" s="1">
        <v>7.0</v>
      </c>
      <c r="E563" s="1" t="s">
        <v>49</v>
      </c>
      <c r="F563" s="4">
        <v>2.0</v>
      </c>
      <c r="G563" s="4">
        <v>1.0</v>
      </c>
      <c r="H563" s="4">
        <v>3.0</v>
      </c>
      <c r="I563" s="4">
        <v>0.0</v>
      </c>
      <c r="J563" s="1">
        <v>7.0</v>
      </c>
      <c r="K563" s="1">
        <v>1.0</v>
      </c>
      <c r="L563" s="1">
        <v>0.0</v>
      </c>
      <c r="M563" s="1">
        <v>2.0</v>
      </c>
      <c r="N563" s="1">
        <v>2.0</v>
      </c>
      <c r="O563" s="1">
        <v>2.0</v>
      </c>
      <c r="P563" s="1">
        <v>2.0</v>
      </c>
      <c r="Q563" s="1"/>
      <c r="R563" s="1"/>
      <c r="S563" s="1">
        <v>61.0</v>
      </c>
      <c r="T563" s="1" t="s">
        <v>28</v>
      </c>
      <c r="U563" s="7">
        <v>4.0</v>
      </c>
      <c r="V563" s="7">
        <v>4.0</v>
      </c>
      <c r="W563" s="7">
        <v>8.0</v>
      </c>
    </row>
    <row r="564">
      <c r="A564" s="3">
        <v>46257.37783564815</v>
      </c>
      <c r="B564" s="1" t="s">
        <v>1146</v>
      </c>
      <c r="C564" s="1" t="s">
        <v>183</v>
      </c>
      <c r="D564" s="1">
        <v>7.0</v>
      </c>
      <c r="E564" s="1" t="s">
        <v>184</v>
      </c>
      <c r="F564" s="4">
        <v>1.0</v>
      </c>
      <c r="G564" s="4">
        <v>2.0</v>
      </c>
      <c r="H564" s="4">
        <v>2.0</v>
      </c>
      <c r="I564" s="4">
        <v>1.0</v>
      </c>
      <c r="J564" s="1">
        <v>3.0</v>
      </c>
      <c r="K564" s="1">
        <v>-1.0</v>
      </c>
      <c r="L564" s="1">
        <v>-1.0</v>
      </c>
      <c r="M564" s="1">
        <v>1.0</v>
      </c>
      <c r="N564" s="1">
        <v>3.0</v>
      </c>
      <c r="O564" s="1">
        <v>1.0</v>
      </c>
      <c r="P564" s="1">
        <v>0.0</v>
      </c>
      <c r="Q564" s="1"/>
      <c r="R564" s="1"/>
      <c r="S564" s="1">
        <v>55.0</v>
      </c>
      <c r="T564" s="1" t="s">
        <v>28</v>
      </c>
      <c r="U564" s="7">
        <v>1.0</v>
      </c>
      <c r="V564" s="7">
        <v>4.0</v>
      </c>
      <c r="W564" s="7">
        <v>5.0</v>
      </c>
    </row>
    <row r="565">
      <c r="A565" s="3">
        <v>46257.37939814815</v>
      </c>
      <c r="B565" s="1" t="s">
        <v>1147</v>
      </c>
      <c r="C565" s="1" t="s">
        <v>246</v>
      </c>
      <c r="D565" s="1">
        <v>7.0</v>
      </c>
      <c r="E565" s="1" t="s">
        <v>184</v>
      </c>
      <c r="F565" s="4">
        <v>2.0</v>
      </c>
      <c r="G565" s="4">
        <v>3.0</v>
      </c>
      <c r="H565" s="4">
        <v>1.0</v>
      </c>
      <c r="I565" s="4">
        <v>0.0</v>
      </c>
      <c r="J565" s="1">
        <v>7.0</v>
      </c>
      <c r="K565" s="1">
        <v>3.0</v>
      </c>
      <c r="L565" s="1">
        <v>0.0</v>
      </c>
      <c r="M565" s="1">
        <v>1.0</v>
      </c>
      <c r="N565" s="1">
        <v>4.0</v>
      </c>
      <c r="O565" s="1">
        <v>4.0</v>
      </c>
      <c r="P565" s="1">
        <v>0.0</v>
      </c>
      <c r="Q565" s="1" t="s">
        <v>1148</v>
      </c>
      <c r="R565" s="1"/>
      <c r="S565" s="1">
        <v>386.0</v>
      </c>
      <c r="T565" s="1" t="s">
        <v>28</v>
      </c>
      <c r="U565" s="7">
        <v>1.0</v>
      </c>
      <c r="V565" s="7">
        <v>8.0</v>
      </c>
      <c r="W565" s="7">
        <v>1.0</v>
      </c>
    </row>
    <row r="566">
      <c r="A566" s="3">
        <v>46257.3797337963</v>
      </c>
      <c r="B566" s="1" t="s">
        <v>1149</v>
      </c>
      <c r="C566" s="1" t="s">
        <v>114</v>
      </c>
      <c r="D566" s="1">
        <v>7.0</v>
      </c>
      <c r="E566" s="1" t="s">
        <v>85</v>
      </c>
      <c r="F566" s="4">
        <v>2.0</v>
      </c>
      <c r="G566" s="4">
        <v>2.0</v>
      </c>
      <c r="H566" s="4">
        <v>2.0</v>
      </c>
      <c r="I566" s="4">
        <v>0.0</v>
      </c>
      <c r="J566" s="1">
        <v>6.0</v>
      </c>
      <c r="K566" s="1">
        <v>2.0</v>
      </c>
      <c r="L566" s="1">
        <v>1.0</v>
      </c>
      <c r="M566" s="1">
        <v>2.0</v>
      </c>
      <c r="N566" s="1">
        <v>3.0</v>
      </c>
      <c r="O566" s="1">
        <v>3.0</v>
      </c>
      <c r="P566" s="1">
        <v>1.0</v>
      </c>
      <c r="Q566" s="1"/>
      <c r="R566" s="1"/>
      <c r="S566" s="1">
        <v>123.0</v>
      </c>
      <c r="T566" s="1" t="s">
        <v>28</v>
      </c>
      <c r="U566" s="7">
        <v>3.0</v>
      </c>
      <c r="V566" s="7">
        <v>6.0</v>
      </c>
      <c r="W566" s="7">
        <v>5.0</v>
      </c>
    </row>
    <row r="567">
      <c r="A567" s="3">
        <v>46257.41054398148</v>
      </c>
      <c r="B567" s="1" t="s">
        <v>1150</v>
      </c>
      <c r="C567" s="1" t="s">
        <v>96</v>
      </c>
      <c r="D567" s="1">
        <v>7.0</v>
      </c>
      <c r="E567" s="1" t="s">
        <v>90</v>
      </c>
      <c r="F567" s="4">
        <v>4.0</v>
      </c>
      <c r="G567" s="4">
        <v>1.0</v>
      </c>
      <c r="H567" s="4">
        <v>1.0</v>
      </c>
      <c r="I567" s="4">
        <v>0.0</v>
      </c>
      <c r="J567" s="1">
        <v>5.0</v>
      </c>
      <c r="K567" s="1">
        <v>0.0</v>
      </c>
      <c r="L567" s="1">
        <v>3.0</v>
      </c>
      <c r="M567" s="1">
        <v>1.0</v>
      </c>
      <c r="N567" s="1">
        <v>1.0</v>
      </c>
      <c r="O567" s="1">
        <v>1.0</v>
      </c>
      <c r="P567" s="1">
        <v>1.0</v>
      </c>
      <c r="Q567" s="1"/>
      <c r="R567" s="1"/>
      <c r="S567" s="1">
        <v>34.0</v>
      </c>
      <c r="T567" s="1" t="s">
        <v>28</v>
      </c>
      <c r="U567" s="7">
        <v>2.0</v>
      </c>
      <c r="V567" s="7">
        <v>2.0</v>
      </c>
      <c r="W567" s="7">
        <v>8.0</v>
      </c>
    </row>
    <row r="568">
      <c r="A568" s="3">
        <v>46257.411469907405</v>
      </c>
      <c r="B568" s="1" t="s">
        <v>1151</v>
      </c>
      <c r="C568" s="1" t="s">
        <v>179</v>
      </c>
      <c r="D568" s="1">
        <v>7.0</v>
      </c>
      <c r="E568" s="1" t="s">
        <v>49</v>
      </c>
      <c r="F568" s="4">
        <v>2.0</v>
      </c>
      <c r="G568" s="4">
        <v>3.0</v>
      </c>
      <c r="H568" s="4">
        <v>0.0</v>
      </c>
      <c r="I568" s="4">
        <v>1.0</v>
      </c>
      <c r="J568" s="1">
        <v>4.0</v>
      </c>
      <c r="K568" s="1">
        <v>-1.0</v>
      </c>
      <c r="L568" s="1">
        <v>-2.0</v>
      </c>
      <c r="M568" s="1">
        <v>1.0</v>
      </c>
      <c r="N568" s="1">
        <v>3.0</v>
      </c>
      <c r="O568" s="1">
        <v>3.0</v>
      </c>
      <c r="P568" s="1">
        <v>1.0</v>
      </c>
      <c r="Q568" s="1"/>
      <c r="R568" s="1"/>
      <c r="S568" s="1">
        <v>88.0</v>
      </c>
      <c r="T568" s="1" t="s">
        <v>28</v>
      </c>
      <c r="U568" s="7">
        <v>2.0</v>
      </c>
      <c r="V568" s="7">
        <v>6.0</v>
      </c>
      <c r="W568" s="7">
        <v>4.0</v>
      </c>
    </row>
    <row r="569">
      <c r="A569" s="3">
        <v>46257.41813657407</v>
      </c>
      <c r="B569" s="1" t="s">
        <v>1152</v>
      </c>
      <c r="C569" s="1" t="s">
        <v>237</v>
      </c>
      <c r="D569" s="1">
        <v>7.0</v>
      </c>
      <c r="E569" s="1" t="s">
        <v>102</v>
      </c>
      <c r="F569" s="4">
        <v>2.0</v>
      </c>
      <c r="G569" s="4">
        <v>1.0</v>
      </c>
      <c r="H569" s="4">
        <v>3.0</v>
      </c>
      <c r="I569" s="4">
        <v>0.0</v>
      </c>
      <c r="J569" s="1">
        <v>3.0</v>
      </c>
      <c r="K569" s="1">
        <v>-1.0</v>
      </c>
      <c r="L569" s="1">
        <v>-1.0</v>
      </c>
      <c r="M569" s="1">
        <v>3.0</v>
      </c>
      <c r="N569" s="1">
        <v>2.0</v>
      </c>
      <c r="O569" s="1">
        <v>2.0</v>
      </c>
      <c r="P569" s="1">
        <v>3.0</v>
      </c>
      <c r="Q569" s="1" t="s">
        <v>1153</v>
      </c>
      <c r="R569" s="1"/>
      <c r="S569" s="1">
        <v>115.0</v>
      </c>
      <c r="T569" s="1" t="s">
        <v>28</v>
      </c>
      <c r="U569" s="7">
        <v>6.0</v>
      </c>
      <c r="V569" s="7">
        <v>4.0</v>
      </c>
      <c r="W569" s="7">
        <v>10.0</v>
      </c>
    </row>
    <row r="570">
      <c r="A570" s="3">
        <v>46257.42518518519</v>
      </c>
      <c r="B570" s="1" t="s">
        <v>1154</v>
      </c>
      <c r="C570" s="1" t="s">
        <v>217</v>
      </c>
      <c r="D570" s="1">
        <v>7.0</v>
      </c>
      <c r="E570" s="1" t="s">
        <v>184</v>
      </c>
      <c r="F570" s="4">
        <v>3.0</v>
      </c>
      <c r="G570" s="4">
        <v>2.0</v>
      </c>
      <c r="H570" s="4">
        <v>1.0</v>
      </c>
      <c r="I570" s="4">
        <v>0.0</v>
      </c>
      <c r="J570" s="1">
        <v>7.0</v>
      </c>
      <c r="K570" s="1">
        <v>2.0</v>
      </c>
      <c r="L570" s="1">
        <v>0.0</v>
      </c>
      <c r="M570" s="1">
        <v>0.0</v>
      </c>
      <c r="N570" s="1">
        <v>4.0</v>
      </c>
      <c r="O570" s="1">
        <v>3.0</v>
      </c>
      <c r="P570" s="1">
        <v>2.0</v>
      </c>
      <c r="Q570" s="1"/>
      <c r="R570" s="1"/>
      <c r="S570" s="1">
        <v>64.0</v>
      </c>
      <c r="T570" s="1" t="s">
        <v>28</v>
      </c>
      <c r="U570" s="7">
        <v>2.0</v>
      </c>
      <c r="V570" s="7">
        <v>7.0</v>
      </c>
      <c r="W570" s="7">
        <v>3.0</v>
      </c>
    </row>
    <row r="571">
      <c r="A571" s="3">
        <v>46257.43581018518</v>
      </c>
      <c r="B571" s="1" t="s">
        <v>1155</v>
      </c>
      <c r="C571" s="1" t="s">
        <v>187</v>
      </c>
      <c r="D571" s="1">
        <v>7.0</v>
      </c>
      <c r="E571" s="1" t="s">
        <v>184</v>
      </c>
      <c r="F571" s="4">
        <v>2.0</v>
      </c>
      <c r="G571" s="4">
        <v>1.0</v>
      </c>
      <c r="H571" s="4">
        <v>3.0</v>
      </c>
      <c r="I571" s="4">
        <v>0.0</v>
      </c>
      <c r="J571" s="1">
        <v>4.0</v>
      </c>
      <c r="K571" s="1">
        <v>-1.0</v>
      </c>
      <c r="L571" s="1">
        <v>-1.0</v>
      </c>
      <c r="M571" s="1">
        <v>2.0</v>
      </c>
      <c r="N571" s="1">
        <v>2.0</v>
      </c>
      <c r="O571" s="1">
        <v>2.0</v>
      </c>
      <c r="P571" s="1">
        <v>2.0</v>
      </c>
      <c r="Q571" s="1"/>
      <c r="R571" s="1"/>
      <c r="S571" s="1">
        <v>56.0</v>
      </c>
      <c r="T571" s="1" t="s">
        <v>28</v>
      </c>
      <c r="U571" s="7">
        <v>4.0</v>
      </c>
      <c r="V571" s="7">
        <v>4.0</v>
      </c>
      <c r="W571" s="7">
        <v>8.0</v>
      </c>
    </row>
    <row r="572">
      <c r="A572" s="3">
        <v>46257.44111111111</v>
      </c>
      <c r="B572" s="1" t="s">
        <v>1156</v>
      </c>
      <c r="C572" s="1" t="s">
        <v>254</v>
      </c>
      <c r="D572" s="1">
        <v>7.0</v>
      </c>
      <c r="E572" s="1" t="s">
        <v>192</v>
      </c>
      <c r="F572" s="4">
        <v>2.0</v>
      </c>
      <c r="G572" s="4">
        <v>1.0</v>
      </c>
      <c r="H572" s="4">
        <v>3.0</v>
      </c>
      <c r="I572" s="4">
        <v>0.0</v>
      </c>
      <c r="J572" s="1">
        <v>2.0</v>
      </c>
      <c r="K572" s="1">
        <v>-1.0</v>
      </c>
      <c r="L572" s="1">
        <v>2.0</v>
      </c>
      <c r="M572" s="1">
        <v>3.0</v>
      </c>
      <c r="N572" s="1">
        <v>2.0</v>
      </c>
      <c r="O572" s="1">
        <v>1.0</v>
      </c>
      <c r="P572" s="1">
        <v>3.0</v>
      </c>
      <c r="Q572" s="1" t="s">
        <v>1157</v>
      </c>
      <c r="R572" s="1"/>
      <c r="S572" s="1">
        <v>131.0</v>
      </c>
      <c r="T572" s="1" t="s">
        <v>28</v>
      </c>
      <c r="U572" s="7">
        <v>6.0</v>
      </c>
      <c r="V572" s="7">
        <v>3.0</v>
      </c>
      <c r="W572" s="7">
        <v>11.0</v>
      </c>
    </row>
    <row r="573">
      <c r="A573" s="3">
        <v>46257.443020833336</v>
      </c>
      <c r="B573" s="1" t="s">
        <v>1158</v>
      </c>
      <c r="C573" s="1" t="s">
        <v>62</v>
      </c>
      <c r="D573" s="1">
        <v>7.0</v>
      </c>
      <c r="E573" s="1" t="s">
        <v>52</v>
      </c>
      <c r="F573" s="4">
        <v>1.0</v>
      </c>
      <c r="G573" s="4">
        <v>1.0</v>
      </c>
      <c r="H573" s="4">
        <v>3.0</v>
      </c>
      <c r="I573" s="4">
        <v>1.0</v>
      </c>
      <c r="J573" s="1">
        <v>6.0</v>
      </c>
      <c r="K573" s="1">
        <v>1.0</v>
      </c>
      <c r="L573" s="1">
        <v>2.0</v>
      </c>
      <c r="M573" s="1">
        <v>3.0</v>
      </c>
      <c r="N573" s="1">
        <v>3.0</v>
      </c>
      <c r="O573" s="1">
        <v>1.0</v>
      </c>
      <c r="P573" s="1">
        <v>4.0</v>
      </c>
      <c r="Q573" s="1" t="s">
        <v>1159</v>
      </c>
      <c r="R573" s="1"/>
      <c r="S573" s="1">
        <v>534.0</v>
      </c>
      <c r="T573" s="1" t="s">
        <v>28</v>
      </c>
      <c r="U573" s="7">
        <v>7.0</v>
      </c>
      <c r="V573" s="7">
        <v>4.0</v>
      </c>
      <c r="W573" s="7">
        <v>11.0</v>
      </c>
    </row>
    <row r="574">
      <c r="A574" s="3">
        <v>46257.44435185185</v>
      </c>
      <c r="B574" s="1" t="s">
        <v>1160</v>
      </c>
      <c r="C574" s="1" t="s">
        <v>323</v>
      </c>
      <c r="D574" s="1">
        <v>7.0</v>
      </c>
      <c r="E574" s="1" t="s">
        <v>192</v>
      </c>
      <c r="F574" s="4">
        <v>4.0</v>
      </c>
      <c r="G574" s="4">
        <v>2.0</v>
      </c>
      <c r="H574" s="4">
        <v>0.0</v>
      </c>
      <c r="I574" s="4">
        <v>0.0</v>
      </c>
      <c r="J574" s="1">
        <v>6.0</v>
      </c>
      <c r="K574" s="1">
        <v>1.0</v>
      </c>
      <c r="L574" s="1">
        <v>3.0</v>
      </c>
      <c r="M574" s="1">
        <v>2.0</v>
      </c>
      <c r="N574" s="1">
        <v>3.0</v>
      </c>
      <c r="O574" s="1">
        <v>2.0</v>
      </c>
      <c r="P574" s="1">
        <v>2.0</v>
      </c>
      <c r="Q574" s="1"/>
      <c r="R574" s="1"/>
      <c r="S574" s="1">
        <v>61.0</v>
      </c>
      <c r="T574" s="1" t="s">
        <v>34</v>
      </c>
      <c r="U574" s="7">
        <v>4.0</v>
      </c>
      <c r="V574" s="7">
        <v>5.0</v>
      </c>
      <c r="W574" s="7">
        <v>7.0</v>
      </c>
    </row>
    <row r="575">
      <c r="A575" s="3">
        <v>46257.45935185185</v>
      </c>
      <c r="B575" s="1" t="s">
        <v>1161</v>
      </c>
      <c r="C575" s="1" t="s">
        <v>189</v>
      </c>
      <c r="D575" s="1">
        <v>7.0</v>
      </c>
      <c r="E575" s="1" t="s">
        <v>184</v>
      </c>
      <c r="F575" s="4">
        <v>3.0</v>
      </c>
      <c r="G575" s="4">
        <v>0.0</v>
      </c>
      <c r="H575" s="4">
        <v>3.0</v>
      </c>
      <c r="I575" s="4">
        <v>0.0</v>
      </c>
      <c r="J575" s="1">
        <v>3.0</v>
      </c>
      <c r="K575" s="1">
        <v>0.0</v>
      </c>
      <c r="L575" s="1">
        <v>2.0</v>
      </c>
      <c r="M575" s="1">
        <v>0.0</v>
      </c>
      <c r="N575" s="1">
        <v>2.0</v>
      </c>
      <c r="O575" s="1">
        <v>2.0</v>
      </c>
      <c r="P575" s="1">
        <v>0.0</v>
      </c>
      <c r="Q575" s="1"/>
      <c r="R575" s="1"/>
      <c r="S575" s="1">
        <v>42.0</v>
      </c>
      <c r="T575" s="1" t="s">
        <v>34</v>
      </c>
      <c r="U575" s="7">
        <v>0.0</v>
      </c>
      <c r="V575" s="7">
        <v>4.0</v>
      </c>
      <c r="W575" s="7">
        <v>4.0</v>
      </c>
    </row>
    <row r="576">
      <c r="A576" s="3">
        <v>46257.4718287037</v>
      </c>
      <c r="B576" s="1" t="s">
        <v>1163</v>
      </c>
      <c r="C576" s="1" t="s">
        <v>89</v>
      </c>
      <c r="D576" s="1">
        <v>7.0</v>
      </c>
      <c r="E576" s="1" t="s">
        <v>85</v>
      </c>
      <c r="F576" s="4">
        <v>3.0</v>
      </c>
      <c r="G576" s="4">
        <v>1.0</v>
      </c>
      <c r="H576" s="4">
        <v>2.0</v>
      </c>
      <c r="I576" s="4">
        <v>0.0</v>
      </c>
      <c r="J576" s="1">
        <v>3.0</v>
      </c>
      <c r="K576" s="1">
        <v>-2.0</v>
      </c>
      <c r="L576" s="1">
        <v>-2.0</v>
      </c>
      <c r="M576" s="1">
        <v>3.0</v>
      </c>
      <c r="N576" s="1">
        <v>1.0</v>
      </c>
      <c r="O576" s="1">
        <v>1.0</v>
      </c>
      <c r="P576" s="1">
        <v>2.0</v>
      </c>
      <c r="Q576" s="1"/>
      <c r="R576" s="1"/>
      <c r="S576" s="1">
        <v>66.0</v>
      </c>
      <c r="T576" s="1" t="s">
        <v>28</v>
      </c>
      <c r="U576" s="7">
        <v>5.0</v>
      </c>
      <c r="V576" s="7">
        <v>2.0</v>
      </c>
      <c r="W576" s="7">
        <v>11.0</v>
      </c>
    </row>
    <row r="577">
      <c r="A577" s="3">
        <v>46257.47284722222</v>
      </c>
      <c r="B577" s="1" t="s">
        <v>1164</v>
      </c>
      <c r="C577" s="1" t="s">
        <v>133</v>
      </c>
      <c r="D577" s="1">
        <v>7.0</v>
      </c>
      <c r="E577" s="1" t="s">
        <v>90</v>
      </c>
      <c r="F577" s="4">
        <v>2.0</v>
      </c>
      <c r="G577" s="4">
        <v>1.0</v>
      </c>
      <c r="H577" s="4">
        <v>2.0</v>
      </c>
      <c r="I577" s="4">
        <v>1.0</v>
      </c>
      <c r="J577" s="1">
        <v>6.0</v>
      </c>
      <c r="K577" s="1">
        <v>-1.0</v>
      </c>
      <c r="L577" s="1">
        <v>2.0</v>
      </c>
      <c r="M577" s="1">
        <v>3.0</v>
      </c>
      <c r="N577" s="1">
        <v>3.0</v>
      </c>
      <c r="O577" s="1">
        <v>3.0</v>
      </c>
      <c r="P577" s="1">
        <v>3.0</v>
      </c>
      <c r="Q577" s="1" t="s">
        <v>1165</v>
      </c>
      <c r="R577" s="1" t="s">
        <v>293</v>
      </c>
      <c r="S577" s="1">
        <v>519.0</v>
      </c>
      <c r="T577" s="1" t="s">
        <v>28</v>
      </c>
      <c r="U577" s="7">
        <v>6.0</v>
      </c>
      <c r="V577" s="7">
        <v>6.0</v>
      </c>
      <c r="W577" s="7">
        <v>8.0</v>
      </c>
    </row>
    <row r="578">
      <c r="A578" s="3">
        <v>46257.47513888889</v>
      </c>
      <c r="B578" s="1" t="s">
        <v>1166</v>
      </c>
      <c r="C578" s="1" t="s">
        <v>41</v>
      </c>
      <c r="D578" s="1">
        <v>7.0</v>
      </c>
      <c r="E578" s="1" t="s">
        <v>31</v>
      </c>
      <c r="F578" s="4">
        <v>2.0</v>
      </c>
      <c r="G578" s="4">
        <v>2.0</v>
      </c>
      <c r="H578" s="4">
        <v>2.0</v>
      </c>
      <c r="I578" s="4">
        <v>0.0</v>
      </c>
      <c r="J578" s="1">
        <v>7.0</v>
      </c>
      <c r="K578" s="1">
        <v>1.0</v>
      </c>
      <c r="L578" s="1">
        <v>1.0</v>
      </c>
      <c r="M578" s="1">
        <v>2.0</v>
      </c>
      <c r="N578" s="1">
        <v>3.0</v>
      </c>
      <c r="O578" s="1">
        <v>3.0</v>
      </c>
      <c r="P578" s="1">
        <v>1.0</v>
      </c>
      <c r="Q578" s="1"/>
      <c r="R578" s="1"/>
      <c r="S578" s="1">
        <v>127.0</v>
      </c>
      <c r="T578" s="1" t="s">
        <v>28</v>
      </c>
      <c r="U578" s="7">
        <v>3.0</v>
      </c>
      <c r="V578" s="7">
        <v>6.0</v>
      </c>
      <c r="W578" s="7">
        <v>5.0</v>
      </c>
    </row>
    <row r="579">
      <c r="A579" s="3">
        <v>46257.511087962965</v>
      </c>
      <c r="B579" s="1" t="s">
        <v>1167</v>
      </c>
      <c r="C579" s="1" t="s">
        <v>286</v>
      </c>
      <c r="D579" s="1">
        <v>7.0</v>
      </c>
      <c r="E579" s="1" t="s">
        <v>184</v>
      </c>
      <c r="F579" s="4">
        <v>1.0</v>
      </c>
      <c r="G579" s="4">
        <v>4.0</v>
      </c>
      <c r="H579" s="4">
        <v>1.0</v>
      </c>
      <c r="I579" s="4">
        <v>0.0</v>
      </c>
      <c r="J579" s="1">
        <v>3.0</v>
      </c>
      <c r="K579" s="1">
        <v>-1.0</v>
      </c>
      <c r="L579" s="1">
        <v>-1.0</v>
      </c>
      <c r="M579" s="1">
        <v>2.0</v>
      </c>
      <c r="N579" s="1">
        <v>2.0</v>
      </c>
      <c r="O579" s="1">
        <v>3.0</v>
      </c>
      <c r="P579" s="1">
        <v>1.0</v>
      </c>
      <c r="Q579" s="1" t="s">
        <v>1168</v>
      </c>
      <c r="R579" s="1" t="s">
        <v>1169</v>
      </c>
      <c r="S579" s="1">
        <v>669.0</v>
      </c>
      <c r="T579" s="1" t="s">
        <v>34</v>
      </c>
      <c r="U579" s="7">
        <v>3.0</v>
      </c>
      <c r="V579" s="7">
        <v>5.0</v>
      </c>
      <c r="W579" s="7">
        <v>6.0</v>
      </c>
    </row>
    <row r="580">
      <c r="A580" s="3">
        <v>46257.532164351855</v>
      </c>
      <c r="B580" s="1" t="s">
        <v>1170</v>
      </c>
      <c r="C580" s="1" t="s">
        <v>200</v>
      </c>
      <c r="D580" s="1">
        <v>7.0</v>
      </c>
      <c r="E580" s="1" t="s">
        <v>184</v>
      </c>
      <c r="F580" s="4">
        <v>0.0</v>
      </c>
      <c r="G580" s="4">
        <v>1.0</v>
      </c>
      <c r="H580" s="4">
        <v>5.0</v>
      </c>
      <c r="I580" s="4">
        <v>0.0</v>
      </c>
      <c r="J580" s="1">
        <v>6.0</v>
      </c>
      <c r="K580" s="1">
        <v>0.0</v>
      </c>
      <c r="L580" s="1">
        <v>0.0</v>
      </c>
      <c r="M580" s="1">
        <v>0.0</v>
      </c>
      <c r="N580" s="1">
        <v>4.0</v>
      </c>
      <c r="O580" s="1">
        <v>3.0</v>
      </c>
      <c r="P580" s="1">
        <v>0.0</v>
      </c>
      <c r="Q580" s="1" t="s">
        <v>1171</v>
      </c>
      <c r="R580" s="1"/>
      <c r="S580" s="1">
        <v>780.0</v>
      </c>
      <c r="T580" s="1" t="s">
        <v>28</v>
      </c>
      <c r="U580" s="7">
        <v>0.0</v>
      </c>
      <c r="V580" s="7">
        <v>7.0</v>
      </c>
      <c r="W580" s="7">
        <v>1.0</v>
      </c>
    </row>
    <row r="581">
      <c r="A581" s="3">
        <v>46257.53491898148</v>
      </c>
      <c r="B581" s="1" t="s">
        <v>1172</v>
      </c>
      <c r="C581" s="1" t="s">
        <v>557</v>
      </c>
      <c r="D581" s="1">
        <v>7.0</v>
      </c>
      <c r="E581" s="1" t="s">
        <v>192</v>
      </c>
      <c r="F581" s="4">
        <v>4.0</v>
      </c>
      <c r="G581" s="4">
        <v>1.0</v>
      </c>
      <c r="H581" s="4">
        <v>1.0</v>
      </c>
      <c r="I581" s="4">
        <v>0.0</v>
      </c>
      <c r="J581" s="1">
        <v>1.0</v>
      </c>
      <c r="K581" s="1">
        <v>-2.0</v>
      </c>
      <c r="L581" s="1">
        <v>-3.0</v>
      </c>
      <c r="M581" s="1">
        <v>4.0</v>
      </c>
      <c r="N581" s="1">
        <v>0.0</v>
      </c>
      <c r="O581" s="1">
        <v>1.0</v>
      </c>
      <c r="P581" s="1">
        <v>3.0</v>
      </c>
      <c r="Q581" s="1" t="s">
        <v>1173</v>
      </c>
      <c r="R581" s="1"/>
      <c r="S581" s="1">
        <v>176.0</v>
      </c>
      <c r="T581" s="1" t="s">
        <v>34</v>
      </c>
      <c r="U581" s="7">
        <v>7.0</v>
      </c>
      <c r="V581" s="7">
        <v>1.0</v>
      </c>
      <c r="W581" s="7">
        <v>14.0</v>
      </c>
    </row>
    <row r="582">
      <c r="A582" s="3">
        <v>46257.54211805556</v>
      </c>
      <c r="B582" s="1" t="s">
        <v>1174</v>
      </c>
      <c r="C582" s="1" t="s">
        <v>684</v>
      </c>
      <c r="D582" s="1">
        <v>7.0</v>
      </c>
      <c r="E582" s="1" t="s">
        <v>192</v>
      </c>
      <c r="F582" s="4">
        <v>1.0</v>
      </c>
      <c r="G582" s="4">
        <v>3.0</v>
      </c>
      <c r="H582" s="4">
        <v>2.0</v>
      </c>
      <c r="I582" s="4">
        <v>0.0</v>
      </c>
      <c r="J582" s="1">
        <v>6.0</v>
      </c>
      <c r="K582" s="1">
        <v>-2.0</v>
      </c>
      <c r="L582" s="1">
        <v>2.0</v>
      </c>
      <c r="M582" s="1">
        <v>2.0</v>
      </c>
      <c r="N582" s="1">
        <v>2.0</v>
      </c>
      <c r="O582" s="1">
        <v>2.0</v>
      </c>
      <c r="P582" s="1">
        <v>2.0</v>
      </c>
      <c r="Q582" s="1"/>
      <c r="R582" s="1"/>
      <c r="S582" s="1">
        <v>108.0</v>
      </c>
      <c r="T582" s="1" t="s">
        <v>28</v>
      </c>
      <c r="U582" s="7">
        <v>4.0</v>
      </c>
      <c r="V582" s="7">
        <v>4.0</v>
      </c>
      <c r="W582" s="7">
        <v>8.0</v>
      </c>
    </row>
    <row r="583">
      <c r="A583" s="3">
        <v>46257.58167824074</v>
      </c>
      <c r="B583" s="1" t="s">
        <v>1175</v>
      </c>
      <c r="C583" s="1" t="s">
        <v>206</v>
      </c>
      <c r="D583" s="1">
        <v>7.0</v>
      </c>
      <c r="E583" s="1" t="s">
        <v>192</v>
      </c>
      <c r="F583" s="4">
        <v>6.0</v>
      </c>
      <c r="G583" s="4">
        <v>0.0</v>
      </c>
      <c r="H583" s="4">
        <v>0.0</v>
      </c>
      <c r="I583" s="4">
        <v>0.0</v>
      </c>
      <c r="J583" s="1">
        <v>1.0</v>
      </c>
      <c r="K583" s="1">
        <v>0.0</v>
      </c>
      <c r="L583" s="1">
        <v>3.0</v>
      </c>
      <c r="M583" s="1">
        <v>3.0</v>
      </c>
      <c r="N583" s="1">
        <v>2.0</v>
      </c>
      <c r="O583" s="1">
        <v>1.0</v>
      </c>
      <c r="P583" s="1">
        <v>2.0</v>
      </c>
      <c r="Q583" s="1"/>
      <c r="R583" s="1"/>
      <c r="S583" s="1">
        <v>48.0</v>
      </c>
      <c r="T583" s="1" t="s">
        <v>28</v>
      </c>
      <c r="U583" s="7">
        <v>5.0</v>
      </c>
      <c r="V583" s="7">
        <v>3.0</v>
      </c>
      <c r="W583" s="7">
        <v>10.0</v>
      </c>
    </row>
    <row r="584">
      <c r="A584" s="3">
        <v>46257.607627314814</v>
      </c>
      <c r="B584" s="1" t="s">
        <v>1176</v>
      </c>
      <c r="C584" s="1" t="s">
        <v>526</v>
      </c>
      <c r="D584" s="1">
        <v>7.0</v>
      </c>
      <c r="E584" s="1" t="s">
        <v>192</v>
      </c>
      <c r="F584" s="4">
        <v>2.0</v>
      </c>
      <c r="G584" s="4">
        <v>1.0</v>
      </c>
      <c r="H584" s="4">
        <v>3.0</v>
      </c>
      <c r="I584" s="4">
        <v>0.0</v>
      </c>
      <c r="J584" s="1">
        <v>3.0</v>
      </c>
      <c r="K584" s="1">
        <v>0.0</v>
      </c>
      <c r="L584" s="1">
        <v>-1.0</v>
      </c>
      <c r="M584" s="1">
        <v>2.0</v>
      </c>
      <c r="N584" s="1">
        <v>1.0</v>
      </c>
      <c r="O584" s="1">
        <v>2.0</v>
      </c>
      <c r="P584" s="1">
        <v>3.0</v>
      </c>
      <c r="Q584" s="1"/>
      <c r="R584" s="1"/>
      <c r="S584" s="1">
        <v>182.0</v>
      </c>
      <c r="T584" s="1" t="s">
        <v>28</v>
      </c>
      <c r="U584" s="7">
        <v>5.0</v>
      </c>
      <c r="V584" s="7">
        <v>3.0</v>
      </c>
      <c r="W584" s="7">
        <v>10.0</v>
      </c>
    </row>
    <row r="585">
      <c r="A585" s="3">
        <v>46257.63859953704</v>
      </c>
      <c r="B585" s="1" t="s">
        <v>1177</v>
      </c>
      <c r="C585" s="1" t="s">
        <v>1178</v>
      </c>
      <c r="D585" s="1">
        <v>7.0</v>
      </c>
      <c r="E585" s="1" t="s">
        <v>192</v>
      </c>
      <c r="F585" s="4">
        <v>0.0</v>
      </c>
      <c r="G585" s="4">
        <v>0.0</v>
      </c>
      <c r="H585" s="4">
        <v>0.0</v>
      </c>
      <c r="I585" s="4">
        <v>6.0</v>
      </c>
      <c r="J585" s="1">
        <v>1.0</v>
      </c>
      <c r="K585" s="1">
        <v>-3.0</v>
      </c>
      <c r="L585" s="1">
        <v>0.0</v>
      </c>
      <c r="M585" s="1">
        <v>3.0</v>
      </c>
      <c r="N585" s="1">
        <v>2.0</v>
      </c>
      <c r="O585" s="1">
        <v>2.0</v>
      </c>
      <c r="P585" s="1">
        <v>3.0</v>
      </c>
      <c r="Q585" s="1" t="s">
        <v>1179</v>
      </c>
      <c r="R585" s="1"/>
      <c r="S585" s="1">
        <v>98.0</v>
      </c>
      <c r="T585" s="1" t="s">
        <v>28</v>
      </c>
      <c r="U585" s="7">
        <v>6.0</v>
      </c>
      <c r="V585" s="7">
        <v>4.0</v>
      </c>
      <c r="W585" s="7">
        <v>10.0</v>
      </c>
    </row>
    <row r="586">
      <c r="A586" s="3">
        <v>46257.638865740744</v>
      </c>
      <c r="B586" s="1" t="s">
        <v>1180</v>
      </c>
      <c r="C586" s="1" t="s">
        <v>356</v>
      </c>
      <c r="D586" s="1">
        <v>7.0</v>
      </c>
      <c r="E586" s="1" t="s">
        <v>184</v>
      </c>
      <c r="F586" s="4">
        <v>2.0</v>
      </c>
      <c r="G586" s="4">
        <v>2.0</v>
      </c>
      <c r="H586" s="4">
        <v>1.0</v>
      </c>
      <c r="I586" s="4">
        <v>1.0</v>
      </c>
      <c r="J586" s="1">
        <v>4.0</v>
      </c>
      <c r="K586" s="1">
        <v>2.0</v>
      </c>
      <c r="L586" s="1">
        <v>-2.0</v>
      </c>
      <c r="M586" s="1">
        <v>1.0</v>
      </c>
      <c r="N586" s="1">
        <v>3.0</v>
      </c>
      <c r="O586" s="1">
        <v>3.0</v>
      </c>
      <c r="P586" s="1">
        <v>0.0</v>
      </c>
      <c r="Q586" s="1"/>
      <c r="R586" s="1"/>
      <c r="S586" s="1">
        <v>43.0</v>
      </c>
      <c r="T586" s="1" t="s">
        <v>28</v>
      </c>
      <c r="U586" s="7">
        <v>1.0</v>
      </c>
      <c r="V586" s="7">
        <v>6.0</v>
      </c>
      <c r="W586" s="7">
        <v>3.0</v>
      </c>
    </row>
    <row r="587">
      <c r="A587" s="3">
        <v>46257.695069444446</v>
      </c>
      <c r="B587" s="1" t="s">
        <v>1181</v>
      </c>
      <c r="C587" s="1" t="s">
        <v>994</v>
      </c>
      <c r="D587" s="1">
        <v>7.0</v>
      </c>
      <c r="E587" s="1" t="s">
        <v>184</v>
      </c>
      <c r="F587" s="4">
        <v>0.0</v>
      </c>
      <c r="G587" s="4">
        <v>0.0</v>
      </c>
      <c r="H587" s="4">
        <v>1.0</v>
      </c>
      <c r="I587" s="4">
        <v>5.0</v>
      </c>
      <c r="J587" s="1">
        <v>2.0</v>
      </c>
      <c r="K587" s="1">
        <v>-3.0</v>
      </c>
      <c r="L587" s="1">
        <v>-3.0</v>
      </c>
      <c r="M587" s="1">
        <v>4.0</v>
      </c>
      <c r="N587" s="1">
        <v>0.0</v>
      </c>
      <c r="O587" s="1">
        <v>0.0</v>
      </c>
      <c r="P587" s="1">
        <v>4.0</v>
      </c>
      <c r="Q587" s="1" t="s">
        <v>1182</v>
      </c>
      <c r="R587" s="1"/>
      <c r="S587" s="1">
        <v>49.0</v>
      </c>
      <c r="T587" s="1" t="s">
        <v>28</v>
      </c>
      <c r="U587" s="7">
        <v>8.0</v>
      </c>
      <c r="V587" s="7">
        <v>0.0</v>
      </c>
      <c r="W587" s="7">
        <v>16.0</v>
      </c>
    </row>
    <row r="588">
      <c r="A588" s="3">
        <v>46257.705358796295</v>
      </c>
      <c r="B588" s="1" t="s">
        <v>1183</v>
      </c>
      <c r="C588" s="1" t="s">
        <v>362</v>
      </c>
      <c r="D588" s="1">
        <v>7.0</v>
      </c>
      <c r="E588" s="1" t="s">
        <v>52</v>
      </c>
      <c r="F588" s="4">
        <v>1.0</v>
      </c>
      <c r="G588" s="4">
        <v>2.0</v>
      </c>
      <c r="H588" s="4">
        <v>3.0</v>
      </c>
      <c r="I588" s="4">
        <v>0.0</v>
      </c>
      <c r="J588" s="1">
        <v>7.0</v>
      </c>
      <c r="K588" s="1">
        <v>1.0</v>
      </c>
      <c r="L588" s="1">
        <v>0.0</v>
      </c>
      <c r="M588" s="1">
        <v>1.0</v>
      </c>
      <c r="N588" s="1">
        <v>3.0</v>
      </c>
      <c r="O588" s="1">
        <v>3.0</v>
      </c>
      <c r="P588" s="1">
        <v>1.0</v>
      </c>
      <c r="Q588" s="1" t="s">
        <v>1184</v>
      </c>
      <c r="R588" s="1"/>
      <c r="S588" s="1">
        <v>352.0</v>
      </c>
      <c r="T588" s="1" t="s">
        <v>28</v>
      </c>
      <c r="U588" s="7">
        <v>2.0</v>
      </c>
      <c r="V588" s="7">
        <v>6.0</v>
      </c>
      <c r="W588" s="7">
        <v>4.0</v>
      </c>
    </row>
    <row r="589">
      <c r="A589" s="3">
        <v>46257.7265162037</v>
      </c>
      <c r="B589" s="1" t="s">
        <v>1185</v>
      </c>
      <c r="C589" s="1" t="s">
        <v>377</v>
      </c>
      <c r="D589" s="1">
        <v>7.0</v>
      </c>
      <c r="E589" s="1" t="s">
        <v>184</v>
      </c>
      <c r="F589" s="4">
        <v>2.0</v>
      </c>
      <c r="G589" s="4">
        <v>0.0</v>
      </c>
      <c r="H589" s="4">
        <v>4.0</v>
      </c>
      <c r="I589" s="4">
        <v>0.0</v>
      </c>
      <c r="J589" s="1">
        <v>2.0</v>
      </c>
      <c r="K589" s="1">
        <v>0.0</v>
      </c>
      <c r="L589" s="1">
        <v>2.0</v>
      </c>
      <c r="M589" s="1">
        <v>2.0</v>
      </c>
      <c r="N589" s="1">
        <v>3.0</v>
      </c>
      <c r="O589" s="1">
        <v>2.0</v>
      </c>
      <c r="P589" s="1">
        <v>2.0</v>
      </c>
      <c r="Q589" s="1" t="s">
        <v>1186</v>
      </c>
      <c r="R589" s="1" t="s">
        <v>1187</v>
      </c>
      <c r="S589" s="1">
        <v>198.0</v>
      </c>
      <c r="T589" s="1" t="s">
        <v>28</v>
      </c>
      <c r="U589" s="7">
        <v>4.0</v>
      </c>
      <c r="V589" s="7">
        <v>5.0</v>
      </c>
      <c r="W589" s="7">
        <v>7.0</v>
      </c>
    </row>
    <row r="590">
      <c r="A590" s="3">
        <v>46257.85178240741</v>
      </c>
      <c r="B590" s="1" t="s">
        <v>1188</v>
      </c>
      <c r="C590" s="1" t="s">
        <v>194</v>
      </c>
      <c r="D590" s="1">
        <v>7.0</v>
      </c>
      <c r="E590" s="1" t="s">
        <v>184</v>
      </c>
      <c r="F590" s="4">
        <v>1.0</v>
      </c>
      <c r="G590" s="4">
        <v>0.0</v>
      </c>
      <c r="H590" s="4">
        <v>5.0</v>
      </c>
      <c r="I590" s="4">
        <v>0.0</v>
      </c>
      <c r="J590" s="1">
        <v>3.0</v>
      </c>
      <c r="K590" s="1">
        <v>-1.0</v>
      </c>
      <c r="L590" s="1">
        <v>2.0</v>
      </c>
      <c r="M590" s="1">
        <v>3.0</v>
      </c>
      <c r="N590" s="1">
        <v>1.0</v>
      </c>
      <c r="O590" s="1">
        <v>1.0</v>
      </c>
      <c r="P590" s="1">
        <v>3.0</v>
      </c>
      <c r="Q590" s="1"/>
      <c r="R590" s="1"/>
      <c r="S590" s="1">
        <v>46.0</v>
      </c>
      <c r="T590" s="1" t="s">
        <v>28</v>
      </c>
      <c r="U590" s="7">
        <v>6.0</v>
      </c>
      <c r="V590" s="7">
        <v>2.0</v>
      </c>
      <c r="W590" s="7">
        <v>12.0</v>
      </c>
    </row>
    <row r="591">
      <c r="A591" s="3">
        <v>46257.89778935185</v>
      </c>
      <c r="B591" s="1" t="s">
        <v>1189</v>
      </c>
      <c r="C591" s="1" t="s">
        <v>306</v>
      </c>
      <c r="D591" s="1">
        <v>7.0</v>
      </c>
      <c r="E591" s="1" t="s">
        <v>184</v>
      </c>
      <c r="F591" s="4">
        <v>1.0</v>
      </c>
      <c r="G591" s="4">
        <v>2.0</v>
      </c>
      <c r="H591" s="4">
        <v>3.0</v>
      </c>
      <c r="I591" s="4">
        <v>0.0</v>
      </c>
      <c r="J591" s="1">
        <v>4.0</v>
      </c>
      <c r="K591" s="1">
        <v>0.0</v>
      </c>
      <c r="L591" s="1">
        <v>0.0</v>
      </c>
      <c r="M591" s="1">
        <v>2.0</v>
      </c>
      <c r="N591" s="1">
        <v>3.0</v>
      </c>
      <c r="O591" s="1">
        <v>2.0</v>
      </c>
      <c r="P591" s="1">
        <v>3.0</v>
      </c>
      <c r="Q591" s="1"/>
      <c r="R591" s="1"/>
      <c r="S591" s="1">
        <v>255.0</v>
      </c>
      <c r="T591" s="1" t="s">
        <v>34</v>
      </c>
      <c r="U591" s="7">
        <v>5.0</v>
      </c>
      <c r="V591" s="7">
        <v>5.0</v>
      </c>
      <c r="W591" s="7">
        <v>8.0</v>
      </c>
    </row>
    <row r="592">
      <c r="A592" s="3">
        <v>46257.949270833335</v>
      </c>
      <c r="B592" s="1" t="s">
        <v>1190</v>
      </c>
      <c r="C592" s="1" t="s">
        <v>259</v>
      </c>
      <c r="D592" s="1">
        <v>7.0</v>
      </c>
      <c r="E592" s="1" t="s">
        <v>184</v>
      </c>
      <c r="F592" s="4">
        <v>0.0</v>
      </c>
      <c r="G592" s="4">
        <v>4.0</v>
      </c>
      <c r="H592" s="4">
        <v>2.0</v>
      </c>
      <c r="I592" s="4">
        <v>0.0</v>
      </c>
      <c r="J592" s="1">
        <v>7.0</v>
      </c>
      <c r="K592" s="1">
        <v>2.0</v>
      </c>
      <c r="L592" s="1">
        <v>-2.0</v>
      </c>
      <c r="M592" s="1">
        <v>1.0</v>
      </c>
      <c r="N592" s="1">
        <v>3.0</v>
      </c>
      <c r="O592" s="1">
        <v>4.0</v>
      </c>
      <c r="P592" s="1">
        <v>0.0</v>
      </c>
      <c r="Q592" s="1" t="s">
        <v>1191</v>
      </c>
      <c r="R592" s="1" t="s">
        <v>1192</v>
      </c>
      <c r="S592" s="1">
        <v>948.0</v>
      </c>
      <c r="T592" s="1" t="s">
        <v>28</v>
      </c>
      <c r="U592" s="7">
        <v>1.0</v>
      </c>
      <c r="V592" s="7">
        <v>7.0</v>
      </c>
      <c r="W592" s="7">
        <v>2.0</v>
      </c>
    </row>
    <row r="593">
      <c r="A593" s="3">
        <v>46258.00565972222</v>
      </c>
      <c r="B593" s="1" t="s">
        <v>1193</v>
      </c>
      <c r="C593" s="1" t="s">
        <v>252</v>
      </c>
      <c r="D593" s="1">
        <v>7.0</v>
      </c>
      <c r="E593" s="1" t="s">
        <v>192</v>
      </c>
      <c r="F593" s="4">
        <v>0.0</v>
      </c>
      <c r="G593" s="4">
        <v>5.0</v>
      </c>
      <c r="H593" s="4">
        <v>1.0</v>
      </c>
      <c r="I593" s="4">
        <v>0.0</v>
      </c>
      <c r="J593" s="1">
        <v>7.0</v>
      </c>
      <c r="K593" s="1">
        <v>3.0</v>
      </c>
      <c r="L593" s="1">
        <v>-3.0</v>
      </c>
      <c r="M593" s="1">
        <v>0.0</v>
      </c>
      <c r="N593" s="1">
        <v>4.0</v>
      </c>
      <c r="O593" s="1">
        <v>4.0</v>
      </c>
      <c r="P593" s="1">
        <v>0.0</v>
      </c>
      <c r="Q593" s="1"/>
      <c r="R593" s="1"/>
      <c r="S593" s="1">
        <v>58.0</v>
      </c>
      <c r="T593" s="1" t="s">
        <v>28</v>
      </c>
      <c r="U593" s="7">
        <v>0.0</v>
      </c>
      <c r="V593" s="7">
        <v>8.0</v>
      </c>
      <c r="W593" s="7">
        <v>0.0</v>
      </c>
    </row>
    <row r="594">
      <c r="A594" s="3">
        <v>46258.28917824074</v>
      </c>
      <c r="B594" s="1" t="s">
        <v>1194</v>
      </c>
      <c r="C594" s="1" t="s">
        <v>659</v>
      </c>
      <c r="D594" s="1">
        <v>7.0</v>
      </c>
      <c r="E594" s="1" t="s">
        <v>102</v>
      </c>
      <c r="F594" s="4">
        <v>3.0</v>
      </c>
      <c r="G594" s="4">
        <v>1.0</v>
      </c>
      <c r="H594" s="4">
        <v>2.0</v>
      </c>
      <c r="I594" s="4">
        <v>0.0</v>
      </c>
      <c r="J594" s="1">
        <v>7.0</v>
      </c>
      <c r="K594" s="1">
        <v>-1.0</v>
      </c>
      <c r="L594" s="1">
        <v>0.0</v>
      </c>
      <c r="M594" s="1">
        <v>1.0</v>
      </c>
      <c r="N594" s="1">
        <v>3.0</v>
      </c>
      <c r="O594" s="1">
        <v>2.0</v>
      </c>
      <c r="P594" s="1">
        <v>2.0</v>
      </c>
      <c r="Q594" s="1" t="s">
        <v>1195</v>
      </c>
      <c r="R594" s="1"/>
      <c r="S594" s="1">
        <v>204.0</v>
      </c>
      <c r="T594" s="1" t="s">
        <v>34</v>
      </c>
      <c r="U594" s="7">
        <v>3.0</v>
      </c>
      <c r="V594" s="7">
        <v>5.0</v>
      </c>
      <c r="W594" s="7">
        <v>6.0</v>
      </c>
    </row>
    <row r="595">
      <c r="A595" s="3">
        <v>46258.289351851854</v>
      </c>
      <c r="B595" s="1" t="s">
        <v>1197</v>
      </c>
      <c r="C595" s="1" t="s">
        <v>101</v>
      </c>
      <c r="D595" s="1">
        <v>7.0</v>
      </c>
      <c r="E595" s="1" t="s">
        <v>45</v>
      </c>
      <c r="F595" s="4">
        <v>3.0</v>
      </c>
      <c r="G595" s="4">
        <v>0.0</v>
      </c>
      <c r="H595" s="4">
        <v>3.0</v>
      </c>
      <c r="I595" s="4">
        <v>0.0</v>
      </c>
      <c r="J595" s="1">
        <v>1.0</v>
      </c>
      <c r="K595" s="1">
        <v>-3.0</v>
      </c>
      <c r="L595" s="1">
        <v>0.0</v>
      </c>
      <c r="M595" s="1">
        <v>0.0</v>
      </c>
      <c r="N595" s="1">
        <v>0.0</v>
      </c>
      <c r="O595" s="1">
        <v>0.0</v>
      </c>
      <c r="P595" s="1">
        <v>4.0</v>
      </c>
      <c r="Q595" s="1"/>
      <c r="R595" s="1"/>
      <c r="S595" s="1">
        <v>65.0</v>
      </c>
      <c r="T595" s="1" t="s">
        <v>34</v>
      </c>
      <c r="U595" s="7">
        <v>4.0</v>
      </c>
      <c r="V595" s="7">
        <v>0.0</v>
      </c>
      <c r="W595" s="7">
        <v>12.0</v>
      </c>
    </row>
    <row r="596">
      <c r="A596" s="3">
        <v>46258.336643518516</v>
      </c>
      <c r="B596" s="1" t="s">
        <v>1198</v>
      </c>
      <c r="C596" s="1" t="s">
        <v>257</v>
      </c>
      <c r="D596" s="1">
        <v>7.0</v>
      </c>
      <c r="E596" s="1" t="s">
        <v>184</v>
      </c>
      <c r="F596" s="4">
        <v>1.0</v>
      </c>
      <c r="G596" s="4">
        <v>3.0</v>
      </c>
      <c r="H596" s="4">
        <v>2.0</v>
      </c>
      <c r="I596" s="4">
        <v>0.0</v>
      </c>
      <c r="J596" s="1">
        <v>5.0</v>
      </c>
      <c r="K596" s="1">
        <v>0.0</v>
      </c>
      <c r="L596" s="1">
        <v>0.0</v>
      </c>
      <c r="M596" s="1">
        <v>1.0</v>
      </c>
      <c r="N596" s="1">
        <v>3.0</v>
      </c>
      <c r="O596" s="1">
        <v>2.0</v>
      </c>
      <c r="P596" s="1">
        <v>2.0</v>
      </c>
      <c r="Q596" s="1"/>
      <c r="R596" s="1"/>
      <c r="S596" s="1">
        <v>70.0</v>
      </c>
      <c r="T596" s="1" t="s">
        <v>34</v>
      </c>
      <c r="U596" s="7">
        <v>3.0</v>
      </c>
      <c r="V596" s="7">
        <v>5.0</v>
      </c>
      <c r="W596" s="7">
        <v>6.0</v>
      </c>
    </row>
    <row r="597">
      <c r="A597" s="3">
        <v>46258.42328703704</v>
      </c>
      <c r="B597" s="1" t="s">
        <v>1199</v>
      </c>
      <c r="C597" s="1" t="s">
        <v>592</v>
      </c>
      <c r="D597" s="1">
        <v>7.0</v>
      </c>
      <c r="E597" s="1" t="s">
        <v>102</v>
      </c>
      <c r="F597" s="4">
        <v>1.0</v>
      </c>
      <c r="G597" s="4">
        <v>1.0</v>
      </c>
      <c r="H597" s="4">
        <v>4.0</v>
      </c>
      <c r="I597" s="4">
        <v>0.0</v>
      </c>
      <c r="J597" s="1">
        <v>3.0</v>
      </c>
      <c r="K597" s="1">
        <v>-1.0</v>
      </c>
      <c r="L597" s="1">
        <v>1.0</v>
      </c>
      <c r="M597" s="1">
        <v>2.0</v>
      </c>
      <c r="N597" s="1">
        <v>2.0</v>
      </c>
      <c r="O597" s="1">
        <v>2.0</v>
      </c>
      <c r="P597" s="1">
        <v>2.0</v>
      </c>
      <c r="Q597" s="1" t="s">
        <v>1200</v>
      </c>
      <c r="R597" s="1"/>
      <c r="S597" s="1">
        <v>1031.0</v>
      </c>
      <c r="T597" s="1" t="s">
        <v>34</v>
      </c>
      <c r="U597" s="7">
        <v>4.0</v>
      </c>
      <c r="V597" s="7">
        <v>4.0</v>
      </c>
      <c r="W597" s="7">
        <v>8.0</v>
      </c>
    </row>
    <row r="598">
      <c r="A598" s="3">
        <v>46258.430659722224</v>
      </c>
      <c r="B598" s="1" t="s">
        <v>1201</v>
      </c>
      <c r="C598" s="1" t="s">
        <v>149</v>
      </c>
      <c r="D598" s="1">
        <v>7.0</v>
      </c>
      <c r="E598" s="1" t="s">
        <v>52</v>
      </c>
      <c r="F598" s="4">
        <v>1.0</v>
      </c>
      <c r="G598" s="4">
        <v>1.0</v>
      </c>
      <c r="H598" s="4">
        <v>1.0</v>
      </c>
      <c r="I598" s="4">
        <v>3.0</v>
      </c>
      <c r="J598" s="1">
        <v>5.0</v>
      </c>
      <c r="K598" s="1">
        <v>1.0</v>
      </c>
      <c r="L598" s="1">
        <v>1.0</v>
      </c>
      <c r="M598" s="1">
        <v>0.0</v>
      </c>
      <c r="N598" s="1">
        <v>3.0</v>
      </c>
      <c r="O598" s="1">
        <v>3.0</v>
      </c>
      <c r="P598" s="1">
        <v>1.0</v>
      </c>
      <c r="Q598" s="1"/>
      <c r="R598" s="1"/>
      <c r="S598" s="1">
        <v>167.0</v>
      </c>
      <c r="T598" s="1" t="s">
        <v>34</v>
      </c>
      <c r="U598" s="7">
        <v>1.0</v>
      </c>
      <c r="V598" s="7">
        <v>6.0</v>
      </c>
      <c r="W598" s="7">
        <v>3.0</v>
      </c>
    </row>
    <row r="599">
      <c r="A599" s="3">
        <v>46258.44836805556</v>
      </c>
      <c r="B599" s="1" t="s">
        <v>1202</v>
      </c>
      <c r="C599" s="1" t="s">
        <v>532</v>
      </c>
      <c r="D599" s="1">
        <v>7.0</v>
      </c>
      <c r="E599" s="1" t="s">
        <v>184</v>
      </c>
      <c r="F599" s="4">
        <v>2.0</v>
      </c>
      <c r="G599" s="4">
        <v>2.0</v>
      </c>
      <c r="H599" s="4">
        <v>1.0</v>
      </c>
      <c r="I599" s="4">
        <v>1.0</v>
      </c>
      <c r="J599" s="1">
        <v>5.0</v>
      </c>
      <c r="K599" s="1">
        <v>0.0</v>
      </c>
      <c r="L599" s="1">
        <v>-3.0</v>
      </c>
      <c r="M599" s="1">
        <v>2.0</v>
      </c>
      <c r="N599" s="1">
        <v>2.0</v>
      </c>
      <c r="O599" s="1">
        <v>2.0</v>
      </c>
      <c r="P599" s="1">
        <v>1.0</v>
      </c>
      <c r="Q599" s="1"/>
      <c r="R599" s="1" t="s">
        <v>1203</v>
      </c>
      <c r="S599" s="1">
        <v>110.0</v>
      </c>
      <c r="T599" s="1" t="s">
        <v>28</v>
      </c>
      <c r="U599" s="7">
        <v>3.0</v>
      </c>
      <c r="V599" s="7">
        <v>4.0</v>
      </c>
      <c r="W599" s="7">
        <v>7.0</v>
      </c>
    </row>
    <row r="600">
      <c r="A600" s="3">
        <v>46258.46019675926</v>
      </c>
      <c r="B600" s="1" t="s">
        <v>1204</v>
      </c>
      <c r="C600" s="1" t="s">
        <v>131</v>
      </c>
      <c r="D600" s="1">
        <v>7.0</v>
      </c>
      <c r="E600" s="1" t="s">
        <v>90</v>
      </c>
      <c r="F600" s="4">
        <v>2.0</v>
      </c>
      <c r="G600" s="4">
        <v>2.0</v>
      </c>
      <c r="H600" s="4">
        <v>2.0</v>
      </c>
      <c r="I600" s="4">
        <v>0.0</v>
      </c>
      <c r="J600" s="1">
        <v>7.0</v>
      </c>
      <c r="K600" s="1">
        <v>3.0</v>
      </c>
      <c r="L600" s="1">
        <v>1.0</v>
      </c>
      <c r="M600" s="1">
        <v>1.0</v>
      </c>
      <c r="N600" s="1">
        <v>4.0</v>
      </c>
      <c r="O600" s="1">
        <v>4.0</v>
      </c>
      <c r="P600" s="1">
        <v>1.0</v>
      </c>
      <c r="Q600" s="1"/>
      <c r="R600" s="1"/>
      <c r="S600" s="1">
        <v>119.0</v>
      </c>
      <c r="T600" s="1" t="s">
        <v>34</v>
      </c>
      <c r="U600" s="7">
        <v>2.0</v>
      </c>
      <c r="V600" s="7">
        <v>8.0</v>
      </c>
      <c r="W600" s="7">
        <v>2.0</v>
      </c>
    </row>
    <row r="601">
      <c r="A601" s="3">
        <v>46258.467314814814</v>
      </c>
      <c r="B601" s="1" t="s">
        <v>1205</v>
      </c>
      <c r="C601" s="1" t="s">
        <v>596</v>
      </c>
      <c r="D601" s="1">
        <v>7.0</v>
      </c>
      <c r="E601" s="1" t="s">
        <v>49</v>
      </c>
      <c r="F601" s="4">
        <v>2.0</v>
      </c>
      <c r="G601" s="4">
        <v>1.0</v>
      </c>
      <c r="H601" s="4">
        <v>3.0</v>
      </c>
      <c r="I601" s="4">
        <v>0.0</v>
      </c>
      <c r="J601" s="1">
        <v>4.0</v>
      </c>
      <c r="K601" s="1">
        <v>0.0</v>
      </c>
      <c r="L601" s="1">
        <v>0.0</v>
      </c>
      <c r="M601" s="1">
        <v>2.0</v>
      </c>
      <c r="N601" s="1">
        <v>3.0</v>
      </c>
      <c r="O601" s="1">
        <v>2.0</v>
      </c>
      <c r="P601" s="1">
        <v>2.0</v>
      </c>
      <c r="Q601" s="1"/>
      <c r="R601" s="1"/>
      <c r="S601" s="1">
        <v>51.0</v>
      </c>
      <c r="T601" s="1" t="s">
        <v>34</v>
      </c>
      <c r="U601" s="7">
        <v>4.0</v>
      </c>
      <c r="V601" s="7">
        <v>5.0</v>
      </c>
      <c r="W601" s="7">
        <v>7.0</v>
      </c>
    </row>
    <row r="602">
      <c r="A602" s="3">
        <v>46258.47577546296</v>
      </c>
      <c r="B602" s="1" t="s">
        <v>1206</v>
      </c>
      <c r="C602" s="1" t="s">
        <v>634</v>
      </c>
      <c r="D602" s="1">
        <v>7.0</v>
      </c>
      <c r="E602" s="1" t="s">
        <v>192</v>
      </c>
      <c r="F602" s="4">
        <v>0.0</v>
      </c>
      <c r="G602" s="4">
        <v>4.0</v>
      </c>
      <c r="H602" s="4">
        <v>2.0</v>
      </c>
      <c r="I602" s="4">
        <v>0.0</v>
      </c>
      <c r="J602" s="1">
        <v>5.0</v>
      </c>
      <c r="K602" s="1">
        <v>1.0</v>
      </c>
      <c r="L602" s="1">
        <v>-1.0</v>
      </c>
      <c r="M602" s="1">
        <v>3.0</v>
      </c>
      <c r="N602" s="1">
        <v>3.0</v>
      </c>
      <c r="O602" s="1">
        <v>3.0</v>
      </c>
      <c r="P602" s="1">
        <v>0.0</v>
      </c>
      <c r="Q602" s="1"/>
      <c r="R602" s="1"/>
      <c r="S602" s="1">
        <v>29.0</v>
      </c>
      <c r="T602" s="1" t="s">
        <v>34</v>
      </c>
      <c r="U602" s="7">
        <v>3.0</v>
      </c>
      <c r="V602" s="7">
        <v>6.0</v>
      </c>
      <c r="W602" s="7">
        <v>5.0</v>
      </c>
    </row>
    <row r="603">
      <c r="A603" s="3">
        <v>46258.514548611114</v>
      </c>
      <c r="B603" s="1" t="s">
        <v>1207</v>
      </c>
      <c r="C603" s="1" t="s">
        <v>30</v>
      </c>
      <c r="D603" s="1">
        <v>7.0</v>
      </c>
      <c r="E603" s="1" t="s">
        <v>31</v>
      </c>
      <c r="F603" s="4">
        <v>2.0</v>
      </c>
      <c r="G603" s="4">
        <v>2.0</v>
      </c>
      <c r="H603" s="4">
        <v>2.0</v>
      </c>
      <c r="I603" s="4">
        <v>0.0</v>
      </c>
      <c r="J603" s="1">
        <v>5.0</v>
      </c>
      <c r="K603" s="1">
        <v>1.0</v>
      </c>
      <c r="L603" s="1">
        <v>-1.0</v>
      </c>
      <c r="M603" s="1">
        <v>2.0</v>
      </c>
      <c r="N603" s="1">
        <v>3.0</v>
      </c>
      <c r="O603" s="1">
        <v>3.0</v>
      </c>
      <c r="P603" s="1">
        <v>2.0</v>
      </c>
      <c r="Q603" s="1" t="s">
        <v>1208</v>
      </c>
      <c r="R603" s="1"/>
      <c r="S603" s="1">
        <v>117.0</v>
      </c>
      <c r="T603" s="1" t="s">
        <v>34</v>
      </c>
      <c r="U603" s="7">
        <v>4.0</v>
      </c>
      <c r="V603" s="7">
        <v>6.0</v>
      </c>
      <c r="W603" s="7">
        <v>6.0</v>
      </c>
    </row>
    <row r="604">
      <c r="A604" s="3">
        <v>46258.522256944445</v>
      </c>
      <c r="B604" s="1" t="s">
        <v>1209</v>
      </c>
      <c r="C604" s="1" t="s">
        <v>295</v>
      </c>
      <c r="D604" s="1">
        <v>7.0</v>
      </c>
      <c r="E604" s="1" t="s">
        <v>192</v>
      </c>
      <c r="F604" s="4">
        <v>0.0</v>
      </c>
      <c r="G604" s="4">
        <v>1.0</v>
      </c>
      <c r="H604" s="4">
        <v>1.0</v>
      </c>
      <c r="I604" s="4">
        <v>4.0</v>
      </c>
      <c r="J604" s="1">
        <v>6.0</v>
      </c>
      <c r="K604" s="1">
        <v>3.0</v>
      </c>
      <c r="L604" s="1">
        <v>-2.0</v>
      </c>
      <c r="M604" s="1">
        <v>1.0</v>
      </c>
      <c r="N604" s="1">
        <v>3.0</v>
      </c>
      <c r="O604" s="1">
        <v>3.0</v>
      </c>
      <c r="P604" s="1">
        <v>0.0</v>
      </c>
      <c r="Q604" s="1"/>
      <c r="R604" s="1"/>
      <c r="S604" s="1">
        <v>112.0</v>
      </c>
      <c r="T604" s="1" t="s">
        <v>34</v>
      </c>
      <c r="U604" s="7">
        <v>1.0</v>
      </c>
      <c r="V604" s="7">
        <v>6.0</v>
      </c>
      <c r="W604" s="7">
        <v>3.0</v>
      </c>
    </row>
    <row r="605">
      <c r="A605" s="3">
        <v>46258.528182870374</v>
      </c>
      <c r="B605" s="1" t="s">
        <v>1210</v>
      </c>
      <c r="C605" s="1" t="s">
        <v>271</v>
      </c>
      <c r="D605" s="1">
        <v>7.0</v>
      </c>
      <c r="E605" s="1" t="s">
        <v>184</v>
      </c>
      <c r="F605" s="4">
        <v>2.0</v>
      </c>
      <c r="G605" s="4">
        <v>2.0</v>
      </c>
      <c r="H605" s="4">
        <v>2.0</v>
      </c>
      <c r="I605" s="4">
        <v>0.0</v>
      </c>
      <c r="J605" s="1">
        <v>3.0</v>
      </c>
      <c r="K605" s="1">
        <v>0.0</v>
      </c>
      <c r="L605" s="1">
        <v>1.0</v>
      </c>
      <c r="M605" s="1">
        <v>1.0</v>
      </c>
      <c r="N605" s="1">
        <v>3.0</v>
      </c>
      <c r="O605" s="1">
        <v>3.0</v>
      </c>
      <c r="P605" s="1">
        <v>1.0</v>
      </c>
      <c r="Q605" s="1"/>
      <c r="R605" s="1"/>
      <c r="S605" s="1">
        <v>36.0</v>
      </c>
      <c r="T605" s="1" t="s">
        <v>28</v>
      </c>
      <c r="U605" s="7">
        <v>2.0</v>
      </c>
      <c r="V605" s="7">
        <v>6.0</v>
      </c>
      <c r="W605" s="7">
        <v>4.0</v>
      </c>
    </row>
    <row r="606">
      <c r="A606" s="3">
        <v>46258.54273148148</v>
      </c>
      <c r="B606" s="1" t="s">
        <v>1211</v>
      </c>
      <c r="C606" s="1" t="s">
        <v>211</v>
      </c>
      <c r="D606" s="1">
        <v>7.0</v>
      </c>
      <c r="E606" s="1" t="s">
        <v>184</v>
      </c>
      <c r="F606" s="4">
        <v>2.0</v>
      </c>
      <c r="G606" s="4">
        <v>2.0</v>
      </c>
      <c r="H606" s="4">
        <v>2.0</v>
      </c>
      <c r="I606" s="4">
        <v>0.0</v>
      </c>
      <c r="J606" s="1">
        <v>5.0</v>
      </c>
      <c r="K606" s="1">
        <v>-1.0</v>
      </c>
      <c r="L606" s="1">
        <v>0.0</v>
      </c>
      <c r="M606" s="1">
        <v>0.0</v>
      </c>
      <c r="N606" s="1">
        <v>4.0</v>
      </c>
      <c r="O606" s="1">
        <v>4.0</v>
      </c>
      <c r="P606" s="1">
        <v>0.0</v>
      </c>
      <c r="Q606" s="1"/>
      <c r="R606" s="1"/>
      <c r="S606" s="1">
        <v>87.0</v>
      </c>
      <c r="T606" s="1" t="s">
        <v>34</v>
      </c>
      <c r="U606" s="7">
        <v>0.0</v>
      </c>
      <c r="V606" s="7">
        <v>8.0</v>
      </c>
      <c r="W606" s="7">
        <v>0.0</v>
      </c>
    </row>
    <row r="607">
      <c r="A607" s="3">
        <v>46258.59344907408</v>
      </c>
      <c r="B607" s="1" t="s">
        <v>1212</v>
      </c>
      <c r="C607" s="1" t="s">
        <v>59</v>
      </c>
      <c r="D607" s="1">
        <v>7.0</v>
      </c>
      <c r="E607" s="1" t="s">
        <v>52</v>
      </c>
      <c r="F607" s="4">
        <v>0.0</v>
      </c>
      <c r="G607" s="4">
        <v>2.0</v>
      </c>
      <c r="H607" s="4">
        <v>4.0</v>
      </c>
      <c r="I607" s="4">
        <v>0.0</v>
      </c>
      <c r="J607" s="1">
        <v>5.0</v>
      </c>
      <c r="K607" s="1">
        <v>2.0</v>
      </c>
      <c r="L607" s="1">
        <v>-2.0</v>
      </c>
      <c r="M607" s="1">
        <v>1.0</v>
      </c>
      <c r="N607" s="1">
        <v>3.0</v>
      </c>
      <c r="O607" s="1">
        <v>3.0</v>
      </c>
      <c r="P607" s="1">
        <v>1.0</v>
      </c>
      <c r="Q607" s="1" t="s">
        <v>1213</v>
      </c>
      <c r="R607" s="1"/>
      <c r="S607" s="1">
        <v>70.0</v>
      </c>
      <c r="T607" s="1" t="s">
        <v>34</v>
      </c>
      <c r="U607" s="7">
        <v>2.0</v>
      </c>
      <c r="V607" s="7">
        <v>6.0</v>
      </c>
      <c r="W607" s="7">
        <v>4.0</v>
      </c>
    </row>
    <row r="608">
      <c r="A608" s="3">
        <v>46258.64501157407</v>
      </c>
      <c r="B608" s="1" t="s">
        <v>1214</v>
      </c>
      <c r="C608" s="1" t="s">
        <v>393</v>
      </c>
      <c r="D608" s="1">
        <v>7.0</v>
      </c>
      <c r="E608" s="1" t="s">
        <v>102</v>
      </c>
      <c r="F608" s="4">
        <v>0.0</v>
      </c>
      <c r="G608" s="4">
        <v>3.0</v>
      </c>
      <c r="H608" s="4">
        <v>3.0</v>
      </c>
      <c r="I608" s="4">
        <v>0.0</v>
      </c>
      <c r="J608" s="1">
        <v>6.0</v>
      </c>
      <c r="K608" s="1">
        <v>2.0</v>
      </c>
      <c r="L608" s="1">
        <v>-3.0</v>
      </c>
      <c r="M608" s="1">
        <v>1.0</v>
      </c>
      <c r="N608" s="1">
        <v>4.0</v>
      </c>
      <c r="O608" s="1">
        <v>4.0</v>
      </c>
      <c r="P608" s="1">
        <v>1.0</v>
      </c>
      <c r="Q608" s="1" t="s">
        <v>1215</v>
      </c>
      <c r="R608" s="1"/>
      <c r="S608" s="1">
        <v>932.0</v>
      </c>
      <c r="T608" s="1" t="s">
        <v>34</v>
      </c>
      <c r="U608" s="7">
        <v>2.0</v>
      </c>
      <c r="V608" s="7">
        <v>8.0</v>
      </c>
      <c r="W608" s="7">
        <v>2.0</v>
      </c>
    </row>
    <row r="609">
      <c r="A609" s="3">
        <v>46258.66780092593</v>
      </c>
      <c r="B609" s="1" t="s">
        <v>1216</v>
      </c>
      <c r="C609" s="1" t="s">
        <v>140</v>
      </c>
      <c r="D609" s="1">
        <v>7.0</v>
      </c>
      <c r="E609" s="1" t="s">
        <v>90</v>
      </c>
      <c r="F609" s="4">
        <v>1.0</v>
      </c>
      <c r="G609" s="4">
        <v>2.0</v>
      </c>
      <c r="H609" s="4">
        <v>2.0</v>
      </c>
      <c r="I609" s="4">
        <v>1.0</v>
      </c>
      <c r="J609" s="1">
        <v>6.0</v>
      </c>
      <c r="K609" s="1">
        <v>1.0</v>
      </c>
      <c r="L609" s="1">
        <v>-1.0</v>
      </c>
      <c r="M609" s="1">
        <v>1.0</v>
      </c>
      <c r="N609" s="1">
        <v>3.0</v>
      </c>
      <c r="O609" s="1">
        <v>3.0</v>
      </c>
      <c r="P609" s="1">
        <v>1.0</v>
      </c>
      <c r="Q609" s="1" t="s">
        <v>1217</v>
      </c>
      <c r="R609" s="1" t="s">
        <v>1218</v>
      </c>
      <c r="S609" s="1">
        <v>10290.0</v>
      </c>
      <c r="T609" s="1" t="s">
        <v>34</v>
      </c>
      <c r="U609" s="7">
        <v>2.0</v>
      </c>
      <c r="V609" s="7">
        <v>6.0</v>
      </c>
      <c r="W609" s="7">
        <v>4.0</v>
      </c>
    </row>
    <row r="610">
      <c r="A610" s="3">
        <v>46258.69091435185</v>
      </c>
      <c r="B610" s="1" t="s">
        <v>1219</v>
      </c>
      <c r="C610" s="1" t="s">
        <v>108</v>
      </c>
      <c r="D610" s="1">
        <v>7.0</v>
      </c>
      <c r="E610" s="1" t="s">
        <v>52</v>
      </c>
      <c r="F610" s="4">
        <v>0.0</v>
      </c>
      <c r="G610" s="4">
        <v>1.0</v>
      </c>
      <c r="H610" s="4">
        <v>3.0</v>
      </c>
      <c r="I610" s="4">
        <v>2.0</v>
      </c>
      <c r="J610" s="1">
        <v>2.0</v>
      </c>
      <c r="K610" s="1">
        <v>-2.0</v>
      </c>
      <c r="L610" s="1">
        <v>2.0</v>
      </c>
      <c r="M610" s="1">
        <v>1.0</v>
      </c>
      <c r="N610" s="1">
        <v>3.0</v>
      </c>
      <c r="O610" s="1">
        <v>2.0</v>
      </c>
      <c r="P610" s="1">
        <v>1.0</v>
      </c>
      <c r="Q610" s="1"/>
      <c r="R610" s="1" t="s">
        <v>1220</v>
      </c>
      <c r="S610" s="1">
        <v>222.0</v>
      </c>
      <c r="T610" s="1" t="s">
        <v>28</v>
      </c>
      <c r="U610" s="7">
        <v>2.0</v>
      </c>
      <c r="V610" s="7">
        <v>5.0</v>
      </c>
      <c r="W610" s="7">
        <v>5.0</v>
      </c>
    </row>
    <row r="611">
      <c r="A611" s="3">
        <v>46258.74684027778</v>
      </c>
      <c r="B611" s="1" t="s">
        <v>1221</v>
      </c>
      <c r="C611" s="1" t="s">
        <v>266</v>
      </c>
      <c r="D611" s="1">
        <v>7.0</v>
      </c>
      <c r="E611" s="1" t="s">
        <v>192</v>
      </c>
      <c r="F611" s="4">
        <v>1.0</v>
      </c>
      <c r="G611" s="4">
        <v>2.0</v>
      </c>
      <c r="H611" s="4">
        <v>3.0</v>
      </c>
      <c r="I611" s="4">
        <v>0.0</v>
      </c>
      <c r="J611" s="1">
        <v>5.0</v>
      </c>
      <c r="K611" s="1">
        <v>-2.0</v>
      </c>
      <c r="L611" s="1">
        <v>-2.0</v>
      </c>
      <c r="M611" s="1">
        <v>0.0</v>
      </c>
      <c r="N611" s="1">
        <v>4.0</v>
      </c>
      <c r="O611" s="1">
        <v>4.0</v>
      </c>
      <c r="P611" s="1">
        <v>0.0</v>
      </c>
      <c r="Q611" s="1"/>
      <c r="R611" s="1"/>
      <c r="S611" s="1">
        <v>98.0</v>
      </c>
      <c r="T611" s="1" t="s">
        <v>34</v>
      </c>
      <c r="U611" s="7">
        <v>0.0</v>
      </c>
      <c r="V611" s="7">
        <v>8.0</v>
      </c>
      <c r="W611" s="7">
        <v>0.0</v>
      </c>
    </row>
    <row r="612">
      <c r="A612" s="3">
        <v>46258.8071875</v>
      </c>
      <c r="B612" s="1" t="s">
        <v>1222</v>
      </c>
      <c r="C612" s="1" t="s">
        <v>492</v>
      </c>
      <c r="D612" s="1">
        <v>7.0</v>
      </c>
      <c r="E612" s="1" t="s">
        <v>184</v>
      </c>
      <c r="F612" s="4">
        <v>1.0</v>
      </c>
      <c r="G612" s="4">
        <v>2.0</v>
      </c>
      <c r="H612" s="4">
        <v>0.0</v>
      </c>
      <c r="I612" s="4">
        <v>3.0</v>
      </c>
      <c r="J612" s="1">
        <v>5.0</v>
      </c>
      <c r="K612" s="1">
        <v>2.0</v>
      </c>
      <c r="L612" s="1">
        <v>0.0</v>
      </c>
      <c r="M612" s="1">
        <v>3.0</v>
      </c>
      <c r="N612" s="1">
        <v>3.0</v>
      </c>
      <c r="O612" s="1">
        <v>3.0</v>
      </c>
      <c r="P612" s="1">
        <v>2.0</v>
      </c>
      <c r="Q612" s="1" t="s">
        <v>1223</v>
      </c>
      <c r="R612" s="1"/>
      <c r="S612" s="1">
        <v>39.0</v>
      </c>
      <c r="T612" s="1" t="s">
        <v>34</v>
      </c>
      <c r="U612" s="7">
        <v>5.0</v>
      </c>
      <c r="V612" s="7">
        <v>6.0</v>
      </c>
      <c r="W612" s="7">
        <v>7.0</v>
      </c>
    </row>
    <row r="613">
      <c r="A613" s="3">
        <v>46258.96292824074</v>
      </c>
      <c r="B613" s="1" t="s">
        <v>1224</v>
      </c>
      <c r="C613" s="1" t="s">
        <v>384</v>
      </c>
      <c r="D613" s="1">
        <v>7.0</v>
      </c>
      <c r="E613" s="1" t="s">
        <v>184</v>
      </c>
      <c r="F613" s="4">
        <v>0.0</v>
      </c>
      <c r="G613" s="4">
        <v>0.0</v>
      </c>
      <c r="H613" s="4">
        <v>6.0</v>
      </c>
      <c r="I613" s="4">
        <v>0.0</v>
      </c>
      <c r="J613" s="1">
        <v>7.0</v>
      </c>
      <c r="K613" s="1">
        <v>0.0</v>
      </c>
      <c r="L613" s="1">
        <v>-3.0</v>
      </c>
      <c r="M613" s="1">
        <v>2.0</v>
      </c>
      <c r="N613" s="1">
        <v>2.0</v>
      </c>
      <c r="O613" s="1">
        <v>2.0</v>
      </c>
      <c r="P613" s="1">
        <v>2.0</v>
      </c>
      <c r="Q613" s="1"/>
      <c r="R613" s="1"/>
      <c r="S613" s="1">
        <v>24.0</v>
      </c>
      <c r="T613" s="1" t="s">
        <v>34</v>
      </c>
      <c r="U613" s="7">
        <v>4.0</v>
      </c>
      <c r="V613" s="7">
        <v>4.0</v>
      </c>
      <c r="W613" s="7">
        <v>8.0</v>
      </c>
    </row>
    <row r="614">
      <c r="A614" s="3">
        <v>46258.99028935185</v>
      </c>
      <c r="B614" s="1" t="s">
        <v>1225</v>
      </c>
      <c r="C614" s="1" t="s">
        <v>240</v>
      </c>
      <c r="D614" s="1">
        <v>7.0</v>
      </c>
      <c r="E614" s="1" t="s">
        <v>184</v>
      </c>
      <c r="F614" s="4">
        <v>2.0</v>
      </c>
      <c r="G614" s="4">
        <v>1.0</v>
      </c>
      <c r="H614" s="4">
        <v>2.0</v>
      </c>
      <c r="I614" s="4">
        <v>1.0</v>
      </c>
      <c r="J614" s="1">
        <v>4.0</v>
      </c>
      <c r="K614" s="1">
        <v>0.0</v>
      </c>
      <c r="L614" s="1">
        <v>-2.0</v>
      </c>
      <c r="M614" s="1">
        <v>0.0</v>
      </c>
      <c r="N614" s="1">
        <v>2.0</v>
      </c>
      <c r="O614" s="1">
        <v>2.0</v>
      </c>
      <c r="P614" s="1">
        <v>1.0</v>
      </c>
      <c r="Q614" s="1" t="s">
        <v>1226</v>
      </c>
      <c r="R614" s="1"/>
      <c r="S614" s="1">
        <v>373.0</v>
      </c>
      <c r="T614" s="1" t="s">
        <v>34</v>
      </c>
      <c r="U614" s="7">
        <v>1.0</v>
      </c>
      <c r="V614" s="7">
        <v>4.0</v>
      </c>
      <c r="W614" s="7">
        <v>5.0</v>
      </c>
    </row>
    <row r="615">
      <c r="A615" s="3">
        <v>46259.33689814815</v>
      </c>
      <c r="B615" s="1" t="s">
        <v>1227</v>
      </c>
      <c r="C615" s="1" t="s">
        <v>453</v>
      </c>
      <c r="D615" s="1">
        <v>7.0</v>
      </c>
      <c r="E615" s="1" t="s">
        <v>184</v>
      </c>
      <c r="F615" s="4">
        <v>2.0</v>
      </c>
      <c r="G615" s="4">
        <v>1.0</v>
      </c>
      <c r="H615" s="4">
        <v>3.0</v>
      </c>
      <c r="I615" s="4">
        <v>0.0</v>
      </c>
      <c r="J615" s="1">
        <v>4.0</v>
      </c>
      <c r="K615" s="1">
        <v>0.0</v>
      </c>
      <c r="L615" s="1">
        <v>2.0</v>
      </c>
      <c r="M615" s="1">
        <v>3.0</v>
      </c>
      <c r="N615" s="1">
        <v>2.0</v>
      </c>
      <c r="O615" s="1">
        <v>2.0</v>
      </c>
      <c r="P615" s="1">
        <v>2.0</v>
      </c>
      <c r="Q615" s="1"/>
      <c r="R615" s="1"/>
      <c r="S615" s="1">
        <v>68.0</v>
      </c>
      <c r="T615" s="1" t="s">
        <v>34</v>
      </c>
      <c r="U615" s="7">
        <v>5.0</v>
      </c>
      <c r="V615" s="7">
        <v>4.0</v>
      </c>
      <c r="W615" s="7">
        <v>9.0</v>
      </c>
    </row>
    <row r="616">
      <c r="A616" s="3">
        <v>46259.34333333333</v>
      </c>
      <c r="B616" s="1" t="s">
        <v>1228</v>
      </c>
      <c r="C616" s="1" t="s">
        <v>442</v>
      </c>
      <c r="D616" s="1">
        <v>7.0</v>
      </c>
      <c r="E616" s="1" t="s">
        <v>184</v>
      </c>
      <c r="F616" s="4">
        <v>4.0</v>
      </c>
      <c r="G616" s="4">
        <v>0.0</v>
      </c>
      <c r="H616" s="4">
        <v>2.0</v>
      </c>
      <c r="I616" s="4">
        <v>0.0</v>
      </c>
      <c r="J616" s="1">
        <v>2.0</v>
      </c>
      <c r="K616" s="1">
        <v>-2.0</v>
      </c>
      <c r="L616" s="1">
        <v>2.0</v>
      </c>
      <c r="M616" s="1">
        <v>2.0</v>
      </c>
      <c r="N616" s="1">
        <v>2.0</v>
      </c>
      <c r="O616" s="1">
        <v>2.0</v>
      </c>
      <c r="P616" s="1">
        <v>2.0</v>
      </c>
      <c r="Q616" s="1"/>
      <c r="R616" s="1"/>
      <c r="S616" s="1">
        <v>59.0</v>
      </c>
      <c r="T616" s="1" t="s">
        <v>34</v>
      </c>
      <c r="U616" s="7">
        <v>4.0</v>
      </c>
      <c r="V616" s="7">
        <v>4.0</v>
      </c>
      <c r="W616" s="7">
        <v>8.0</v>
      </c>
    </row>
    <row r="617">
      <c r="A617" s="3">
        <v>46259.361712962964</v>
      </c>
      <c r="B617" s="1" t="s">
        <v>1229</v>
      </c>
      <c r="C617" s="1" t="s">
        <v>487</v>
      </c>
      <c r="D617" s="1">
        <v>7.0</v>
      </c>
      <c r="E617" s="1" t="s">
        <v>184</v>
      </c>
      <c r="F617" s="4">
        <v>1.0</v>
      </c>
      <c r="G617" s="4">
        <v>2.0</v>
      </c>
      <c r="H617" s="4">
        <v>3.0</v>
      </c>
      <c r="I617" s="4">
        <v>0.0</v>
      </c>
      <c r="J617" s="1">
        <v>5.0</v>
      </c>
      <c r="K617" s="1">
        <v>1.0</v>
      </c>
      <c r="L617" s="1">
        <v>0.0</v>
      </c>
      <c r="M617" s="1">
        <v>2.0</v>
      </c>
      <c r="N617" s="1">
        <v>3.0</v>
      </c>
      <c r="O617" s="1">
        <v>3.0</v>
      </c>
      <c r="P617" s="1">
        <v>2.0</v>
      </c>
      <c r="Q617" s="1"/>
      <c r="R617" s="1"/>
      <c r="S617" s="1">
        <v>193.0</v>
      </c>
      <c r="T617" s="1" t="s">
        <v>28</v>
      </c>
      <c r="U617" s="7">
        <v>4.0</v>
      </c>
      <c r="V617" s="7">
        <v>6.0</v>
      </c>
      <c r="W617" s="7">
        <v>6.0</v>
      </c>
    </row>
    <row r="618">
      <c r="A618" s="3">
        <v>46259.51459490741</v>
      </c>
      <c r="B618" s="1" t="s">
        <v>1230</v>
      </c>
      <c r="C618" s="1" t="s">
        <v>474</v>
      </c>
      <c r="D618" s="1">
        <v>7.0</v>
      </c>
      <c r="E618" s="1" t="s">
        <v>184</v>
      </c>
      <c r="F618" s="4">
        <v>6.0</v>
      </c>
      <c r="G618" s="4">
        <v>0.0</v>
      </c>
      <c r="H618" s="4">
        <v>0.0</v>
      </c>
      <c r="I618" s="4">
        <v>0.0</v>
      </c>
      <c r="J618" s="1">
        <v>4.0</v>
      </c>
      <c r="K618" s="1">
        <v>0.0</v>
      </c>
      <c r="L618" s="1">
        <v>0.0</v>
      </c>
      <c r="M618" s="1">
        <v>2.0</v>
      </c>
      <c r="N618" s="1">
        <v>2.0</v>
      </c>
      <c r="O618" s="1">
        <v>2.0</v>
      </c>
      <c r="P618" s="1">
        <v>2.0</v>
      </c>
      <c r="Q618" s="1"/>
      <c r="R618" s="1"/>
      <c r="S618" s="1">
        <v>16.0</v>
      </c>
      <c r="T618" s="1" t="s">
        <v>34</v>
      </c>
      <c r="U618" s="7">
        <v>4.0</v>
      </c>
      <c r="V618" s="7">
        <v>4.0</v>
      </c>
      <c r="W618" s="7">
        <v>8.0</v>
      </c>
    </row>
    <row r="619">
      <c r="A619" s="3">
        <v>46259.65484953704</v>
      </c>
      <c r="B619" s="1" t="s">
        <v>1231</v>
      </c>
      <c r="C619" s="1" t="s">
        <v>274</v>
      </c>
      <c r="D619" s="1">
        <v>7.0</v>
      </c>
      <c r="E619" s="1" t="s">
        <v>192</v>
      </c>
      <c r="F619" s="4">
        <v>1.0</v>
      </c>
      <c r="G619" s="4">
        <v>3.0</v>
      </c>
      <c r="H619" s="4">
        <v>2.0</v>
      </c>
      <c r="I619" s="4">
        <v>0.0</v>
      </c>
      <c r="J619" s="1">
        <v>5.0</v>
      </c>
      <c r="K619" s="1">
        <v>-1.0</v>
      </c>
      <c r="L619" s="1">
        <v>-1.0</v>
      </c>
      <c r="M619" s="1">
        <v>2.0</v>
      </c>
      <c r="N619" s="1">
        <v>3.0</v>
      </c>
      <c r="O619" s="1">
        <v>3.0</v>
      </c>
      <c r="P619" s="1">
        <v>1.0</v>
      </c>
      <c r="Q619" s="1" t="s">
        <v>1232</v>
      </c>
      <c r="R619" s="1"/>
      <c r="S619" s="1">
        <v>11591.0</v>
      </c>
      <c r="T619" s="1" t="s">
        <v>34</v>
      </c>
      <c r="U619" s="7">
        <v>3.0</v>
      </c>
      <c r="V619" s="7">
        <v>6.0</v>
      </c>
      <c r="W619" s="7">
        <v>5.0</v>
      </c>
    </row>
    <row r="620">
      <c r="A620" s="3">
        <v>46259.84609953704</v>
      </c>
      <c r="B620" s="1" t="s">
        <v>1233</v>
      </c>
      <c r="C620" s="1" t="s">
        <v>171</v>
      </c>
      <c r="D620" s="1">
        <v>7.0</v>
      </c>
      <c r="E620" s="1" t="s">
        <v>90</v>
      </c>
      <c r="F620" s="4">
        <v>0.0</v>
      </c>
      <c r="G620" s="4">
        <v>2.0</v>
      </c>
      <c r="H620" s="4">
        <v>1.0</v>
      </c>
      <c r="I620" s="4">
        <v>3.0</v>
      </c>
      <c r="J620" s="1">
        <v>5.0</v>
      </c>
      <c r="K620" s="1">
        <v>1.0</v>
      </c>
      <c r="L620" s="1">
        <v>-2.0</v>
      </c>
      <c r="M620" s="1">
        <v>2.0</v>
      </c>
      <c r="N620" s="1">
        <v>3.0</v>
      </c>
      <c r="O620" s="1">
        <v>3.0</v>
      </c>
      <c r="P620" s="1">
        <v>2.0</v>
      </c>
      <c r="Q620" s="1" t="s">
        <v>1234</v>
      </c>
      <c r="R620" s="1"/>
      <c r="S620" s="1">
        <v>5112.0</v>
      </c>
      <c r="T620" s="1" t="s">
        <v>34</v>
      </c>
      <c r="U620" s="7">
        <v>4.0</v>
      </c>
      <c r="V620" s="7">
        <v>6.0</v>
      </c>
      <c r="W620" s="7">
        <v>6.0</v>
      </c>
    </row>
    <row r="621">
      <c r="A621" s="3">
        <v>46259.96444444444</v>
      </c>
      <c r="B621" s="1" t="s">
        <v>1235</v>
      </c>
      <c r="C621" s="1" t="s">
        <v>291</v>
      </c>
      <c r="D621" s="1">
        <v>7.0</v>
      </c>
      <c r="E621" s="1" t="s">
        <v>184</v>
      </c>
      <c r="F621" s="4">
        <v>2.0</v>
      </c>
      <c r="G621" s="4">
        <v>1.0</v>
      </c>
      <c r="H621" s="4">
        <v>3.0</v>
      </c>
      <c r="I621" s="4">
        <v>0.0</v>
      </c>
      <c r="J621" s="1">
        <v>5.0</v>
      </c>
      <c r="K621" s="1">
        <v>-2.0</v>
      </c>
      <c r="L621" s="1">
        <v>0.0</v>
      </c>
      <c r="M621" s="1">
        <v>2.0</v>
      </c>
      <c r="N621" s="1">
        <v>3.0</v>
      </c>
      <c r="O621" s="1">
        <v>2.0</v>
      </c>
      <c r="P621" s="1">
        <v>2.0</v>
      </c>
      <c r="Q621" s="1" t="s">
        <v>1236</v>
      </c>
      <c r="R621" s="1" t="s">
        <v>293</v>
      </c>
      <c r="S621" s="1">
        <v>297.0</v>
      </c>
      <c r="T621" s="1" t="s">
        <v>34</v>
      </c>
      <c r="U621" s="7">
        <v>4.0</v>
      </c>
      <c r="V621" s="7">
        <v>5.0</v>
      </c>
      <c r="W621" s="7">
        <v>7.0</v>
      </c>
    </row>
    <row r="622">
      <c r="A622" s="3">
        <v>46260.74601851852</v>
      </c>
      <c r="B622" s="1" t="s">
        <v>1237</v>
      </c>
      <c r="C622" s="1" t="s">
        <v>263</v>
      </c>
      <c r="D622" s="1">
        <v>7.0</v>
      </c>
      <c r="E622" s="1" t="s">
        <v>184</v>
      </c>
      <c r="F622" s="4">
        <v>1.0</v>
      </c>
      <c r="G622" s="4">
        <v>2.0</v>
      </c>
      <c r="H622" s="4">
        <v>3.0</v>
      </c>
      <c r="I622" s="4">
        <v>0.0</v>
      </c>
      <c r="J622" s="1">
        <v>5.0</v>
      </c>
      <c r="K622" s="1">
        <v>0.0</v>
      </c>
      <c r="L622" s="1">
        <v>-1.0</v>
      </c>
      <c r="M622" s="1">
        <v>2.0</v>
      </c>
      <c r="N622" s="1">
        <v>3.0</v>
      </c>
      <c r="O622" s="1">
        <v>2.0</v>
      </c>
      <c r="P622" s="1">
        <v>1.0</v>
      </c>
      <c r="Q622" s="1" t="s">
        <v>1238</v>
      </c>
      <c r="R622" s="1"/>
      <c r="S622" s="1">
        <v>214.0</v>
      </c>
      <c r="T622" s="1" t="s">
        <v>34</v>
      </c>
      <c r="U622" s="7">
        <v>3.0</v>
      </c>
      <c r="V622" s="7">
        <v>5.0</v>
      </c>
      <c r="W622" s="7">
        <v>6.0</v>
      </c>
    </row>
    <row r="623">
      <c r="A623" s="3">
        <v>46262.45167824074</v>
      </c>
      <c r="B623" s="1" t="s">
        <v>1239</v>
      </c>
      <c r="C623" s="1" t="s">
        <v>303</v>
      </c>
      <c r="D623" s="1">
        <v>7.0</v>
      </c>
      <c r="E623" s="1" t="s">
        <v>184</v>
      </c>
      <c r="F623" s="4">
        <v>1.0</v>
      </c>
      <c r="G623" s="4">
        <v>3.0</v>
      </c>
      <c r="H623" s="4">
        <v>2.0</v>
      </c>
      <c r="I623" s="4">
        <v>0.0</v>
      </c>
      <c r="J623" s="1">
        <v>7.0</v>
      </c>
      <c r="K623" s="1">
        <v>0.0</v>
      </c>
      <c r="L623" s="1">
        <v>-1.0</v>
      </c>
      <c r="M623" s="1">
        <v>1.0</v>
      </c>
      <c r="N623" s="1">
        <v>3.0</v>
      </c>
      <c r="O623" s="1">
        <v>3.0</v>
      </c>
      <c r="P623" s="1">
        <v>1.0</v>
      </c>
      <c r="Q623" s="1"/>
      <c r="R623" s="1"/>
      <c r="S623" s="1">
        <v>720.0</v>
      </c>
      <c r="T623" s="1" t="s">
        <v>34</v>
      </c>
      <c r="U623" s="7">
        <v>2.0</v>
      </c>
      <c r="V623" s="7">
        <v>6.0</v>
      </c>
      <c r="W623" s="7">
        <v>4.0</v>
      </c>
    </row>
    <row r="624">
      <c r="A624" s="3">
        <v>46264.3825462963</v>
      </c>
      <c r="B624" s="1" t="s">
        <v>1240</v>
      </c>
      <c r="C624" s="1" t="s">
        <v>41</v>
      </c>
      <c r="D624" s="1">
        <v>8.0</v>
      </c>
      <c r="E624" s="1" t="s">
        <v>31</v>
      </c>
      <c r="F624" s="4">
        <v>1.0</v>
      </c>
      <c r="G624" s="4">
        <v>3.0</v>
      </c>
      <c r="H624" s="4">
        <v>2.0</v>
      </c>
      <c r="I624" s="4">
        <v>0.0</v>
      </c>
      <c r="J624" s="1">
        <v>7.0</v>
      </c>
      <c r="K624" s="1">
        <v>2.0</v>
      </c>
      <c r="L624" s="1">
        <v>2.0</v>
      </c>
      <c r="M624" s="1">
        <v>2.0</v>
      </c>
      <c r="N624" s="1">
        <v>3.0</v>
      </c>
      <c r="O624" s="1">
        <v>3.0</v>
      </c>
      <c r="P624" s="1">
        <v>2.0</v>
      </c>
      <c r="Q624" s="1"/>
      <c r="R624" s="1"/>
      <c r="S624" s="1">
        <v>85.0</v>
      </c>
      <c r="T624" s="1" t="s">
        <v>28</v>
      </c>
      <c r="U624" s="7">
        <v>4.0</v>
      </c>
      <c r="V624" s="7">
        <v>6.0</v>
      </c>
      <c r="W624" s="7">
        <v>6.0</v>
      </c>
    </row>
    <row r="625">
      <c r="A625" s="3">
        <v>46264.391493055555</v>
      </c>
      <c r="B625" s="1" t="s">
        <v>1241</v>
      </c>
      <c r="C625" s="1" t="s">
        <v>96</v>
      </c>
      <c r="D625" s="1">
        <v>8.0</v>
      </c>
      <c r="E625" s="1" t="s">
        <v>90</v>
      </c>
      <c r="F625" s="4">
        <v>6.0</v>
      </c>
      <c r="G625" s="4">
        <v>0.0</v>
      </c>
      <c r="H625" s="4">
        <v>0.0</v>
      </c>
      <c r="I625" s="4">
        <v>0.0</v>
      </c>
      <c r="J625" s="1">
        <v>3.0</v>
      </c>
      <c r="K625" s="1">
        <v>-1.0</v>
      </c>
      <c r="L625" s="1">
        <v>3.0</v>
      </c>
      <c r="M625" s="1">
        <v>2.0</v>
      </c>
      <c r="N625" s="1">
        <v>2.0</v>
      </c>
      <c r="O625" s="1">
        <v>2.0</v>
      </c>
      <c r="P625" s="1">
        <v>2.0</v>
      </c>
      <c r="Q625" s="1"/>
      <c r="R625" s="1"/>
      <c r="S625" s="1">
        <v>33.0</v>
      </c>
      <c r="T625" s="1" t="s">
        <v>28</v>
      </c>
      <c r="U625" s="7">
        <v>4.0</v>
      </c>
      <c r="V625" s="7">
        <v>4.0</v>
      </c>
      <c r="W625" s="7">
        <v>8.0</v>
      </c>
    </row>
    <row r="626">
      <c r="A626" s="3">
        <v>46264.400092592594</v>
      </c>
      <c r="B626" s="1" t="s">
        <v>1242</v>
      </c>
      <c r="C626" s="1" t="s">
        <v>316</v>
      </c>
      <c r="D626" s="1">
        <v>8.0</v>
      </c>
      <c r="E626" s="1" t="s">
        <v>184</v>
      </c>
      <c r="F626" s="4">
        <v>2.0</v>
      </c>
      <c r="G626" s="4">
        <v>1.0</v>
      </c>
      <c r="H626" s="4">
        <v>3.0</v>
      </c>
      <c r="I626" s="4">
        <v>0.0</v>
      </c>
      <c r="J626" s="1">
        <v>3.0</v>
      </c>
      <c r="K626" s="1">
        <v>-1.0</v>
      </c>
      <c r="L626" s="1">
        <v>3.0</v>
      </c>
      <c r="M626" s="1">
        <v>3.0</v>
      </c>
      <c r="N626" s="1">
        <v>2.0</v>
      </c>
      <c r="O626" s="1">
        <v>1.0</v>
      </c>
      <c r="P626" s="1">
        <v>2.0</v>
      </c>
      <c r="Q626" s="1"/>
      <c r="R626" s="1"/>
      <c r="S626" s="1">
        <v>67.0</v>
      </c>
      <c r="T626" s="1" t="s">
        <v>34</v>
      </c>
      <c r="U626" s="7">
        <v>5.0</v>
      </c>
      <c r="V626" s="7">
        <v>3.0</v>
      </c>
      <c r="W626" s="7">
        <v>10.0</v>
      </c>
    </row>
    <row r="627">
      <c r="A627" s="3">
        <v>46264.40258101852</v>
      </c>
      <c r="B627" s="1" t="s">
        <v>1243</v>
      </c>
      <c r="C627" s="1" t="s">
        <v>111</v>
      </c>
      <c r="D627" s="1">
        <v>8.0</v>
      </c>
      <c r="E627" s="1" t="s">
        <v>184</v>
      </c>
      <c r="F627" s="4">
        <v>1.0</v>
      </c>
      <c r="G627" s="4">
        <v>2.0</v>
      </c>
      <c r="H627" s="4">
        <v>3.0</v>
      </c>
      <c r="I627" s="4">
        <v>0.0</v>
      </c>
      <c r="J627" s="1">
        <v>4.0</v>
      </c>
      <c r="K627" s="1">
        <v>0.0</v>
      </c>
      <c r="L627" s="1">
        <v>1.0</v>
      </c>
      <c r="M627" s="1">
        <v>2.0</v>
      </c>
      <c r="N627" s="1">
        <v>2.0</v>
      </c>
      <c r="O627" s="1">
        <v>2.0</v>
      </c>
      <c r="P627" s="1">
        <v>2.0</v>
      </c>
      <c r="Q627" s="1"/>
      <c r="R627" s="1"/>
      <c r="S627" s="1">
        <v>63.0</v>
      </c>
      <c r="T627" s="1" t="s">
        <v>28</v>
      </c>
      <c r="U627" s="7">
        <v>4.0</v>
      </c>
      <c r="V627" s="7">
        <v>4.0</v>
      </c>
      <c r="W627" s="7">
        <v>8.0</v>
      </c>
    </row>
    <row r="628">
      <c r="A628" s="3">
        <v>46264.4080787037</v>
      </c>
      <c r="B628" s="1" t="s">
        <v>1244</v>
      </c>
      <c r="C628" s="1" t="s">
        <v>469</v>
      </c>
      <c r="D628" s="1">
        <v>8.0</v>
      </c>
      <c r="E628" s="1" t="s">
        <v>192</v>
      </c>
      <c r="F628" s="4">
        <v>1.0</v>
      </c>
      <c r="G628" s="4">
        <v>1.0</v>
      </c>
      <c r="H628" s="4">
        <v>0.0</v>
      </c>
      <c r="I628" s="4">
        <v>4.0</v>
      </c>
      <c r="J628" s="1">
        <v>2.0</v>
      </c>
      <c r="K628" s="1">
        <v>-1.0</v>
      </c>
      <c r="L628" s="1">
        <v>1.0</v>
      </c>
      <c r="M628" s="1">
        <v>3.0</v>
      </c>
      <c r="N628" s="1">
        <v>1.0</v>
      </c>
      <c r="O628" s="1">
        <v>1.0</v>
      </c>
      <c r="P628" s="1">
        <v>2.0</v>
      </c>
      <c r="Q628" s="1"/>
      <c r="R628" s="1"/>
      <c r="S628" s="1">
        <v>76.0</v>
      </c>
      <c r="T628" s="1" t="s">
        <v>28</v>
      </c>
      <c r="U628" s="7">
        <v>5.0</v>
      </c>
      <c r="V628" s="7">
        <v>2.0</v>
      </c>
      <c r="W628" s="7">
        <v>11.0</v>
      </c>
    </row>
    <row r="629">
      <c r="A629" s="3">
        <v>46264.432916666665</v>
      </c>
      <c r="B629" s="1" t="s">
        <v>1245</v>
      </c>
      <c r="C629" s="1" t="s">
        <v>684</v>
      </c>
      <c r="D629" s="1">
        <v>8.0</v>
      </c>
      <c r="E629" s="1" t="s">
        <v>102</v>
      </c>
      <c r="F629" s="4">
        <v>0.0</v>
      </c>
      <c r="G629" s="4">
        <v>4.0</v>
      </c>
      <c r="H629" s="4">
        <v>2.0</v>
      </c>
      <c r="I629" s="4">
        <v>0.0</v>
      </c>
      <c r="J629" s="1">
        <v>6.0</v>
      </c>
      <c r="K629" s="1">
        <v>1.0</v>
      </c>
      <c r="L629" s="1">
        <v>-1.0</v>
      </c>
      <c r="M629" s="1">
        <v>3.0</v>
      </c>
      <c r="N629" s="1">
        <v>2.0</v>
      </c>
      <c r="O629" s="1">
        <v>1.0</v>
      </c>
      <c r="P629" s="1">
        <v>1.0</v>
      </c>
      <c r="Q629" s="1"/>
      <c r="R629" s="1"/>
      <c r="S629" s="1">
        <v>55.0</v>
      </c>
      <c r="T629" s="1" t="s">
        <v>34</v>
      </c>
      <c r="U629" s="7">
        <v>4.0</v>
      </c>
      <c r="V629" s="7">
        <v>3.0</v>
      </c>
      <c r="W629" s="7">
        <v>9.0</v>
      </c>
    </row>
    <row r="630">
      <c r="A630" s="3">
        <v>46264.44253472222</v>
      </c>
      <c r="B630" s="1" t="s">
        <v>1246</v>
      </c>
      <c r="C630" s="1" t="s">
        <v>140</v>
      </c>
      <c r="D630" s="1">
        <v>8.0</v>
      </c>
      <c r="E630" s="1" t="s">
        <v>90</v>
      </c>
      <c r="F630" s="4">
        <v>2.0</v>
      </c>
      <c r="G630" s="4">
        <v>1.0</v>
      </c>
      <c r="H630" s="4">
        <v>1.0</v>
      </c>
      <c r="I630" s="4">
        <v>2.0</v>
      </c>
      <c r="J630" s="1">
        <v>4.0</v>
      </c>
      <c r="K630" s="1">
        <v>-2.0</v>
      </c>
      <c r="L630" s="1">
        <v>1.0</v>
      </c>
      <c r="M630" s="1">
        <v>1.0</v>
      </c>
      <c r="N630" s="1">
        <v>2.0</v>
      </c>
      <c r="O630" s="1">
        <v>2.0</v>
      </c>
      <c r="P630" s="1">
        <v>3.0</v>
      </c>
      <c r="Q630" s="1"/>
      <c r="R630" s="1"/>
      <c r="S630" s="1">
        <v>167.0</v>
      </c>
      <c r="T630" s="1" t="s">
        <v>28</v>
      </c>
      <c r="U630" s="7">
        <v>4.0</v>
      </c>
      <c r="V630" s="7">
        <v>4.0</v>
      </c>
      <c r="W630" s="7">
        <v>8.0</v>
      </c>
    </row>
    <row r="631">
      <c r="A631" s="3">
        <v>46264.445081018515</v>
      </c>
      <c r="B631" s="1" t="s">
        <v>1247</v>
      </c>
      <c r="C631" s="1" t="s">
        <v>128</v>
      </c>
      <c r="D631" s="1">
        <v>8.0</v>
      </c>
      <c r="E631" s="1" t="s">
        <v>49</v>
      </c>
      <c r="F631" s="4">
        <v>0.0</v>
      </c>
      <c r="G631" s="4">
        <v>3.0</v>
      </c>
      <c r="H631" s="4">
        <v>3.0</v>
      </c>
      <c r="I631" s="4">
        <v>0.0</v>
      </c>
      <c r="J631" s="1">
        <v>5.0</v>
      </c>
      <c r="K631" s="1">
        <v>-3.0</v>
      </c>
      <c r="L631" s="1">
        <v>-3.0</v>
      </c>
      <c r="M631" s="1">
        <v>0.0</v>
      </c>
      <c r="N631" s="1">
        <v>4.0</v>
      </c>
      <c r="O631" s="1">
        <v>4.0</v>
      </c>
      <c r="P631" s="1">
        <v>0.0</v>
      </c>
      <c r="Q631" s="1" t="s">
        <v>1248</v>
      </c>
      <c r="R631" s="1" t="s">
        <v>1249</v>
      </c>
      <c r="S631" s="1">
        <v>76.0</v>
      </c>
      <c r="T631" s="1" t="s">
        <v>28</v>
      </c>
      <c r="U631" s="7">
        <v>0.0</v>
      </c>
      <c r="V631" s="7">
        <v>8.0</v>
      </c>
      <c r="W631" s="7">
        <v>0.0</v>
      </c>
    </row>
    <row r="632">
      <c r="A632" s="3">
        <v>46264.45569444444</v>
      </c>
      <c r="B632" s="1" t="s">
        <v>1250</v>
      </c>
      <c r="C632" s="1" t="s">
        <v>252</v>
      </c>
      <c r="D632" s="1">
        <v>8.0</v>
      </c>
      <c r="E632" s="1" t="s">
        <v>192</v>
      </c>
      <c r="F632" s="4">
        <v>0.0</v>
      </c>
      <c r="G632" s="4">
        <v>4.0</v>
      </c>
      <c r="H632" s="4">
        <v>2.0</v>
      </c>
      <c r="I632" s="4">
        <v>0.0</v>
      </c>
      <c r="J632" s="1">
        <v>6.0</v>
      </c>
      <c r="K632" s="1">
        <v>2.0</v>
      </c>
      <c r="L632" s="1">
        <v>-2.0</v>
      </c>
      <c r="M632" s="1">
        <v>1.0</v>
      </c>
      <c r="N632" s="1">
        <v>3.0</v>
      </c>
      <c r="O632" s="1">
        <v>4.0</v>
      </c>
      <c r="P632" s="1">
        <v>0.0</v>
      </c>
      <c r="Q632" s="1"/>
      <c r="R632" s="1"/>
      <c r="S632" s="1">
        <v>63.0</v>
      </c>
      <c r="T632" s="1" t="s">
        <v>28</v>
      </c>
      <c r="U632" s="7">
        <v>1.0</v>
      </c>
      <c r="V632" s="7">
        <v>7.0</v>
      </c>
      <c r="W632" s="7">
        <v>2.0</v>
      </c>
    </row>
    <row r="633">
      <c r="A633" s="3">
        <v>46264.45650462963</v>
      </c>
      <c r="B633" s="1" t="s">
        <v>1251</v>
      </c>
      <c r="C633" s="1" t="s">
        <v>196</v>
      </c>
      <c r="D633" s="1">
        <v>8.0</v>
      </c>
      <c r="E633" s="1" t="s">
        <v>184</v>
      </c>
      <c r="F633" s="4">
        <v>2.0</v>
      </c>
      <c r="G633" s="4">
        <v>3.0</v>
      </c>
      <c r="H633" s="4">
        <v>1.0</v>
      </c>
      <c r="I633" s="4">
        <v>0.0</v>
      </c>
      <c r="J633" s="1">
        <v>6.0</v>
      </c>
      <c r="K633" s="1">
        <v>1.0</v>
      </c>
      <c r="L633" s="1">
        <v>0.0</v>
      </c>
      <c r="M633" s="1">
        <v>0.0</v>
      </c>
      <c r="N633" s="1">
        <v>4.0</v>
      </c>
      <c r="O633" s="1">
        <v>1.0</v>
      </c>
      <c r="P633" s="1">
        <v>0.0</v>
      </c>
      <c r="Q633" s="1" t="s">
        <v>1253</v>
      </c>
      <c r="R633" s="1"/>
      <c r="S633" s="1">
        <v>117.0</v>
      </c>
      <c r="T633" s="1" t="s">
        <v>28</v>
      </c>
      <c r="U633" s="7">
        <v>0.0</v>
      </c>
      <c r="V633" s="7">
        <v>5.0</v>
      </c>
      <c r="W633" s="7">
        <v>3.0</v>
      </c>
    </row>
    <row r="634">
      <c r="A634" s="3">
        <v>46264.45725694444</v>
      </c>
      <c r="B634" s="1" t="s">
        <v>1254</v>
      </c>
      <c r="C634" s="1" t="s">
        <v>208</v>
      </c>
      <c r="D634" s="1">
        <v>8.0</v>
      </c>
      <c r="E634" s="1" t="s">
        <v>192</v>
      </c>
      <c r="F634" s="4">
        <v>3.0</v>
      </c>
      <c r="G634" s="4">
        <v>1.0</v>
      </c>
      <c r="H634" s="4">
        <v>2.0</v>
      </c>
      <c r="I634" s="4">
        <v>0.0</v>
      </c>
      <c r="J634" s="1">
        <v>3.0</v>
      </c>
      <c r="K634" s="1">
        <v>-1.0</v>
      </c>
      <c r="L634" s="1">
        <v>0.0</v>
      </c>
      <c r="M634" s="1">
        <v>3.0</v>
      </c>
      <c r="N634" s="1">
        <v>2.0</v>
      </c>
      <c r="O634" s="1">
        <v>2.0</v>
      </c>
      <c r="P634" s="1">
        <v>2.0</v>
      </c>
      <c r="Q634" s="1"/>
      <c r="R634" s="1"/>
      <c r="S634" s="1">
        <v>48.0</v>
      </c>
      <c r="T634" s="1" t="s">
        <v>28</v>
      </c>
      <c r="U634" s="7">
        <v>5.0</v>
      </c>
      <c r="V634" s="7">
        <v>4.0</v>
      </c>
      <c r="W634" s="7">
        <v>9.0</v>
      </c>
    </row>
    <row r="635">
      <c r="A635" s="3">
        <v>46264.462546296294</v>
      </c>
      <c r="B635" s="1" t="s">
        <v>1255</v>
      </c>
      <c r="C635" s="1" t="s">
        <v>206</v>
      </c>
      <c r="D635" s="1">
        <v>8.0</v>
      </c>
      <c r="E635" s="1" t="s">
        <v>192</v>
      </c>
      <c r="F635" s="4">
        <v>6.0</v>
      </c>
      <c r="G635" s="4">
        <v>0.0</v>
      </c>
      <c r="H635" s="4">
        <v>0.0</v>
      </c>
      <c r="I635" s="4">
        <v>0.0</v>
      </c>
      <c r="J635" s="1">
        <v>1.0</v>
      </c>
      <c r="K635" s="1">
        <v>0.0</v>
      </c>
      <c r="L635" s="1">
        <v>3.0</v>
      </c>
      <c r="M635" s="1">
        <v>3.0</v>
      </c>
      <c r="N635" s="1">
        <v>1.0</v>
      </c>
      <c r="O635" s="1">
        <v>1.0</v>
      </c>
      <c r="P635" s="1">
        <v>3.0</v>
      </c>
      <c r="Q635" s="1"/>
      <c r="R635" s="1"/>
      <c r="S635" s="1">
        <v>47.0</v>
      </c>
      <c r="T635" s="1" t="s">
        <v>28</v>
      </c>
      <c r="U635" s="7">
        <v>6.0</v>
      </c>
      <c r="V635" s="7">
        <v>2.0</v>
      </c>
      <c r="W635" s="7">
        <v>12.0</v>
      </c>
    </row>
    <row r="636">
      <c r="A636" s="3">
        <v>46264.46346064815</v>
      </c>
      <c r="B636" s="1" t="s">
        <v>1256</v>
      </c>
      <c r="C636" s="1" t="s">
        <v>187</v>
      </c>
      <c r="D636" s="1">
        <v>8.0</v>
      </c>
      <c r="E636" s="1" t="s">
        <v>184</v>
      </c>
      <c r="F636" s="4">
        <v>3.0</v>
      </c>
      <c r="G636" s="4">
        <v>1.0</v>
      </c>
      <c r="H636" s="4">
        <v>2.0</v>
      </c>
      <c r="I636" s="4">
        <v>0.0</v>
      </c>
      <c r="J636" s="1">
        <v>4.0</v>
      </c>
      <c r="K636" s="1">
        <v>1.0</v>
      </c>
      <c r="L636" s="1">
        <v>0.0</v>
      </c>
      <c r="M636" s="1">
        <v>1.0</v>
      </c>
      <c r="N636" s="1">
        <v>3.0</v>
      </c>
      <c r="O636" s="1">
        <v>3.0</v>
      </c>
      <c r="P636" s="1">
        <v>1.0</v>
      </c>
      <c r="Q636" s="1"/>
      <c r="R636" s="1"/>
      <c r="S636" s="1">
        <v>65.0</v>
      </c>
      <c r="T636" s="1" t="s">
        <v>28</v>
      </c>
      <c r="U636" s="7">
        <v>2.0</v>
      </c>
      <c r="V636" s="7">
        <v>6.0</v>
      </c>
      <c r="W636" s="7">
        <v>4.0</v>
      </c>
    </row>
    <row r="637">
      <c r="A637" s="3">
        <v>46264.473032407404</v>
      </c>
      <c r="B637" s="1" t="s">
        <v>1257</v>
      </c>
      <c r="C637" s="1" t="s">
        <v>157</v>
      </c>
      <c r="D637" s="1">
        <v>8.0</v>
      </c>
      <c r="E637" s="1" t="s">
        <v>90</v>
      </c>
      <c r="F637" s="4">
        <v>1.0</v>
      </c>
      <c r="G637" s="4">
        <v>2.0</v>
      </c>
      <c r="H637" s="4">
        <v>2.0</v>
      </c>
      <c r="I637" s="4">
        <v>1.0</v>
      </c>
      <c r="J637" s="1">
        <v>6.0</v>
      </c>
      <c r="K637" s="1">
        <v>2.0</v>
      </c>
      <c r="L637" s="1">
        <v>1.0</v>
      </c>
      <c r="M637" s="1">
        <v>2.0</v>
      </c>
      <c r="N637" s="1">
        <v>3.0</v>
      </c>
      <c r="O637" s="1">
        <v>3.0</v>
      </c>
      <c r="P637" s="1">
        <v>1.0</v>
      </c>
      <c r="Q637" s="1"/>
      <c r="R637" s="1"/>
      <c r="S637" s="1">
        <v>452.0</v>
      </c>
      <c r="T637" s="1" t="s">
        <v>34</v>
      </c>
      <c r="U637" s="7">
        <v>3.0</v>
      </c>
      <c r="V637" s="7">
        <v>6.0</v>
      </c>
      <c r="W637" s="7">
        <v>5.0</v>
      </c>
    </row>
    <row r="638">
      <c r="A638" s="3">
        <v>46264.476956018516</v>
      </c>
      <c r="B638" s="1" t="s">
        <v>1258</v>
      </c>
      <c r="C638" s="1" t="s">
        <v>69</v>
      </c>
      <c r="D638" s="1">
        <v>8.0</v>
      </c>
      <c r="E638" s="1" t="s">
        <v>49</v>
      </c>
      <c r="F638" s="4">
        <v>1.0</v>
      </c>
      <c r="G638" s="4">
        <v>2.0</v>
      </c>
      <c r="H638" s="4">
        <v>3.0</v>
      </c>
      <c r="I638" s="4">
        <v>0.0</v>
      </c>
      <c r="J638" s="1">
        <v>5.0</v>
      </c>
      <c r="K638" s="1">
        <v>1.0</v>
      </c>
      <c r="L638" s="1">
        <v>-1.0</v>
      </c>
      <c r="M638" s="1">
        <v>3.0</v>
      </c>
      <c r="N638" s="1">
        <v>2.0</v>
      </c>
      <c r="O638" s="1">
        <v>2.0</v>
      </c>
      <c r="P638" s="1">
        <v>3.0</v>
      </c>
      <c r="Q638" s="1" t="s">
        <v>1259</v>
      </c>
      <c r="R638" s="1"/>
      <c r="S638" s="1">
        <v>106.0</v>
      </c>
      <c r="T638" s="1" t="s">
        <v>28</v>
      </c>
      <c r="U638" s="7">
        <v>6.0</v>
      </c>
      <c r="V638" s="7">
        <v>4.0</v>
      </c>
      <c r="W638" s="7">
        <v>10.0</v>
      </c>
    </row>
    <row r="639">
      <c r="A639" s="3">
        <v>46264.501226851855</v>
      </c>
      <c r="B639" s="1" t="s">
        <v>1260</v>
      </c>
      <c r="C639" s="1" t="s">
        <v>217</v>
      </c>
      <c r="D639" s="1">
        <v>8.0</v>
      </c>
      <c r="E639" s="1" t="s">
        <v>184</v>
      </c>
      <c r="F639" s="4">
        <v>1.0</v>
      </c>
      <c r="G639" s="4">
        <v>3.0</v>
      </c>
      <c r="H639" s="4">
        <v>2.0</v>
      </c>
      <c r="I639" s="4">
        <v>0.0</v>
      </c>
      <c r="J639" s="1">
        <v>5.0</v>
      </c>
      <c r="K639" s="1">
        <v>0.0</v>
      </c>
      <c r="L639" s="1">
        <v>2.0</v>
      </c>
      <c r="M639" s="1">
        <v>2.0</v>
      </c>
      <c r="N639" s="1">
        <v>3.0</v>
      </c>
      <c r="O639" s="1">
        <v>2.0</v>
      </c>
      <c r="P639" s="1">
        <v>2.0</v>
      </c>
      <c r="Q639" s="1"/>
      <c r="R639" s="1"/>
      <c r="S639" s="1">
        <v>83.0</v>
      </c>
      <c r="T639" s="1" t="s">
        <v>28</v>
      </c>
      <c r="U639" s="7">
        <v>4.0</v>
      </c>
      <c r="V639" s="7">
        <v>5.0</v>
      </c>
      <c r="W639" s="7">
        <v>7.0</v>
      </c>
    </row>
    <row r="640">
      <c r="A640" s="3">
        <v>46264.51131944444</v>
      </c>
      <c r="B640" s="1" t="s">
        <v>1261</v>
      </c>
      <c r="C640" s="1" t="s">
        <v>89</v>
      </c>
      <c r="D640" s="1">
        <v>8.0</v>
      </c>
      <c r="E640" s="1" t="s">
        <v>90</v>
      </c>
      <c r="F640" s="4">
        <v>2.0</v>
      </c>
      <c r="G640" s="4">
        <v>1.0</v>
      </c>
      <c r="H640" s="4">
        <v>3.0</v>
      </c>
      <c r="I640" s="4">
        <v>0.0</v>
      </c>
      <c r="J640" s="1">
        <v>2.0</v>
      </c>
      <c r="K640" s="1">
        <v>-2.0</v>
      </c>
      <c r="L640" s="1">
        <v>-1.0</v>
      </c>
      <c r="M640" s="1">
        <v>3.0</v>
      </c>
      <c r="N640" s="1">
        <v>1.0</v>
      </c>
      <c r="O640" s="1">
        <v>1.0</v>
      </c>
      <c r="P640" s="1">
        <v>3.0</v>
      </c>
      <c r="Q640" s="1"/>
      <c r="R640" s="1"/>
      <c r="S640" s="1">
        <v>70.0</v>
      </c>
      <c r="T640" s="1" t="s">
        <v>34</v>
      </c>
      <c r="U640" s="7">
        <v>6.0</v>
      </c>
      <c r="V640" s="7">
        <v>2.0</v>
      </c>
      <c r="W640" s="7">
        <v>12.0</v>
      </c>
    </row>
    <row r="641">
      <c r="A641" s="3">
        <v>46264.513194444444</v>
      </c>
      <c r="B641" s="1" t="s">
        <v>1262</v>
      </c>
      <c r="C641" s="1" t="s">
        <v>189</v>
      </c>
      <c r="D641" s="1">
        <v>8.0</v>
      </c>
      <c r="E641" s="1" t="s">
        <v>184</v>
      </c>
      <c r="F641" s="4">
        <v>0.0</v>
      </c>
      <c r="G641" s="4">
        <v>0.0</v>
      </c>
      <c r="H641" s="4">
        <v>6.0</v>
      </c>
      <c r="I641" s="4">
        <v>0.0</v>
      </c>
      <c r="J641" s="1">
        <v>4.0</v>
      </c>
      <c r="K641" s="1">
        <v>0.0</v>
      </c>
      <c r="L641" s="1">
        <v>0.0</v>
      </c>
      <c r="M641" s="1">
        <v>0.0</v>
      </c>
      <c r="N641" s="1">
        <v>2.0</v>
      </c>
      <c r="O641" s="1">
        <v>0.0</v>
      </c>
      <c r="P641" s="1">
        <v>0.0</v>
      </c>
      <c r="Q641" s="1"/>
      <c r="R641" s="1"/>
      <c r="S641" s="1">
        <v>45.0</v>
      </c>
      <c r="T641" s="1" t="s">
        <v>34</v>
      </c>
      <c r="U641" s="7">
        <v>0.0</v>
      </c>
      <c r="V641" s="7">
        <v>2.0</v>
      </c>
      <c r="W641" s="7">
        <v>6.0</v>
      </c>
    </row>
    <row r="642">
      <c r="A642" s="3">
        <v>46264.51429398148</v>
      </c>
      <c r="B642" s="1" t="s">
        <v>1263</v>
      </c>
      <c r="C642" s="1" t="s">
        <v>152</v>
      </c>
      <c r="D642" s="1">
        <v>8.0</v>
      </c>
      <c r="E642" s="1" t="s">
        <v>31</v>
      </c>
      <c r="F642" s="4">
        <v>1.0</v>
      </c>
      <c r="G642" s="4">
        <v>2.0</v>
      </c>
      <c r="H642" s="4">
        <v>3.0</v>
      </c>
      <c r="I642" s="4">
        <v>0.0</v>
      </c>
      <c r="J642" s="1">
        <v>5.0</v>
      </c>
      <c r="K642" s="1">
        <v>1.0</v>
      </c>
      <c r="L642" s="1">
        <v>0.0</v>
      </c>
      <c r="M642" s="1">
        <v>2.0</v>
      </c>
      <c r="N642" s="1">
        <v>3.0</v>
      </c>
      <c r="O642" s="1">
        <v>3.0</v>
      </c>
      <c r="P642" s="1">
        <v>2.0</v>
      </c>
      <c r="Q642" s="1"/>
      <c r="R642" s="1"/>
      <c r="S642" s="1">
        <v>42.0</v>
      </c>
      <c r="T642" s="1" t="s">
        <v>28</v>
      </c>
      <c r="U642" s="7">
        <v>4.0</v>
      </c>
      <c r="V642" s="7">
        <v>6.0</v>
      </c>
      <c r="W642" s="7">
        <v>6.0</v>
      </c>
    </row>
  </sheetData>
  <autoFilter ref="$A$1:$W$60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s>
  <sheetData>
    <row r="1">
      <c r="A1" s="10" t="s">
        <v>816</v>
      </c>
      <c r="B1" s="10">
        <v>8.0</v>
      </c>
      <c r="C1" s="11">
        <f>COUNTIF(RawData!D:D,CurSprint)</f>
        <v>19</v>
      </c>
      <c r="D1" s="1"/>
    </row>
    <row r="2">
      <c r="A2" s="1"/>
      <c r="B2" s="1"/>
      <c r="C2" s="1"/>
      <c r="D2" s="1"/>
    </row>
    <row r="3">
      <c r="A3" s="6" t="s">
        <v>833</v>
      </c>
      <c r="B3" s="6" t="s">
        <v>834</v>
      </c>
      <c r="C3" s="6" t="s">
        <v>835</v>
      </c>
      <c r="D3" s="6" t="s">
        <v>836</v>
      </c>
      <c r="E3" s="1" t="s">
        <v>837</v>
      </c>
      <c r="F3" s="6" t="s">
        <v>838</v>
      </c>
      <c r="G3" s="6" t="s">
        <v>840</v>
      </c>
      <c r="H3" s="6" t="s">
        <v>841</v>
      </c>
      <c r="I3" s="5"/>
      <c r="J3" s="5"/>
      <c r="K3" s="5"/>
      <c r="L3" s="5"/>
      <c r="M3" s="5"/>
      <c r="N3" s="5"/>
      <c r="O3" s="5"/>
      <c r="P3" s="5"/>
      <c r="Q3" s="5"/>
      <c r="R3" s="5"/>
      <c r="S3" s="5"/>
      <c r="T3" s="5"/>
      <c r="U3" s="5"/>
      <c r="V3" s="5"/>
      <c r="W3" s="5"/>
      <c r="X3" s="5"/>
      <c r="Y3" s="5"/>
      <c r="Z3" s="5"/>
    </row>
    <row r="4">
      <c r="A4" s="12" t="s">
        <v>845</v>
      </c>
      <c r="B4" s="13">
        <f>CORREL(RawData!F:F,RawData!$W:$W)</f>
        <v>0.2999938942</v>
      </c>
      <c r="C4" s="14">
        <f>CORREL(RawData!G:G,RawData!$W:$W)</f>
        <v>-0.3897370919</v>
      </c>
      <c r="D4" s="13">
        <f>CORREL(RawData!H:H,RawData!$W:$W)</f>
        <v>-0.01280964003</v>
      </c>
      <c r="E4" s="15">
        <f>CORREL(RawData!I:I,RawData!$W:$W)</f>
        <v>0.07687817862</v>
      </c>
      <c r="F4" s="13">
        <f>CORREL(RawData!J:J,RawData!$W:$W)</f>
        <v>-0.4602700977</v>
      </c>
      <c r="G4" s="13">
        <f>CORREL(RawData!K:K,RawData!$W:$W)</f>
        <v>-0.3233229034</v>
      </c>
      <c r="H4" s="13">
        <f>CORREL(RawData!L:L,RawData!$W:$W)</f>
        <v>0.2204305409</v>
      </c>
    </row>
    <row r="5">
      <c r="A5" s="12" t="s">
        <v>865</v>
      </c>
      <c r="B5" s="13">
        <f>CORREL(RawData!F:F,RawData!$U:$U)</f>
        <v>0.2418809139</v>
      </c>
      <c r="C5" s="13">
        <f>CORREL(RawData!G:G,RawData!$U:$U)</f>
        <v>-0.3180427213</v>
      </c>
      <c r="D5" s="13">
        <f>CORREL(RawData!H:H,RawData!$U:$U)</f>
        <v>-0.02121744815</v>
      </c>
      <c r="E5" s="15">
        <f>CORREL(RawData!I:I,RawData!$U:$U)</f>
        <v>0.07772398387</v>
      </c>
      <c r="F5" s="13">
        <f>CORREL(RawData!J:J,RawData!$U:$U)</f>
        <v>-0.3441241926</v>
      </c>
      <c r="G5" s="13">
        <f>CORREL(RawData!K:K,RawData!$U:$U)</f>
        <v>-0.2526731559</v>
      </c>
      <c r="H5" s="13">
        <f>CORREL(RawData!L:L,RawData!$U:$U)</f>
        <v>0.1948380429</v>
      </c>
    </row>
    <row r="6">
      <c r="A6" s="12" t="s">
        <v>884</v>
      </c>
      <c r="B6" s="13">
        <f>CORREL(RawData!F:F,RawData!$V:$V)</f>
        <v>-0.2908228293</v>
      </c>
      <c r="C6" s="13">
        <f>CORREL(RawData!G:G,RawData!$V:$V)</f>
        <v>0.3733211613</v>
      </c>
      <c r="D6" s="13">
        <f>CORREL(RawData!H:H,RawData!$V:$V)</f>
        <v>-0.0004703684514</v>
      </c>
      <c r="E6" s="15">
        <f>CORREL(RawData!I:I,RawData!$V:$V)</f>
        <v>-0.05590033887</v>
      </c>
      <c r="F6" s="13">
        <f>CORREL(RawData!J:J,RawData!$V:$V)</f>
        <v>0.4781387751</v>
      </c>
      <c r="G6" s="13">
        <f>CORREL(RawData!K:K,RawData!$V:$V)</f>
        <v>0.3229282512</v>
      </c>
      <c r="H6" s="13">
        <f>CORREL(RawData!L:L,RawData!$V:$V)</f>
        <v>-0.1934429202</v>
      </c>
    </row>
    <row r="7">
      <c r="A7" s="12" t="s">
        <v>838</v>
      </c>
      <c r="B7" s="13">
        <f>CORREL(RawData!F:F,RawData!J:J)</f>
        <v>-0.2514106884</v>
      </c>
      <c r="C7" s="13">
        <f>CORREL(RawData!G:G,RawData!J:J)</f>
        <v>0.4652953556</v>
      </c>
      <c r="D7" s="1"/>
    </row>
    <row r="8">
      <c r="A8" s="1"/>
      <c r="B8" s="1"/>
      <c r="C8" s="1"/>
      <c r="D8" s="1"/>
    </row>
    <row r="9">
      <c r="A9" s="1"/>
      <c r="B9" s="1"/>
      <c r="C9" s="1"/>
      <c r="D9" s="1"/>
    </row>
    <row r="10">
      <c r="A10" s="1" t="s">
        <v>908</v>
      </c>
      <c r="B10" s="1">
        <f>COUNTIF(RawData!D:D,B1)</f>
        <v>19</v>
      </c>
      <c r="C10" s="1"/>
      <c r="D10" s="1"/>
    </row>
    <row r="11">
      <c r="B11" s="1" t="s">
        <v>914</v>
      </c>
      <c r="C11" s="1" t="s">
        <v>915</v>
      </c>
      <c r="D11" s="1" t="s">
        <v>916</v>
      </c>
    </row>
    <row r="12">
      <c r="A12" s="1">
        <v>0.0</v>
      </c>
      <c r="B12" s="9">
        <f>COUNTIFS(RawData!F:F,$A12,RawData!$D:$D,$B$1)/TotalWeekRespondents</f>
        <v>0.2105263158</v>
      </c>
      <c r="C12" s="9">
        <f>COUNTIFS(RawData!G:G,$A12,RawData!$D:$D,$B$1)/TotalWeekRespondents</f>
        <v>0.1578947368</v>
      </c>
      <c r="D12" s="9">
        <f>COUNTIFS(RawData!H:H,$A12,RawData!$D:$D,$B$1)/TotalWeekRespondents</f>
        <v>0.1578947368</v>
      </c>
    </row>
    <row r="13">
      <c r="A13" s="1">
        <v>1.0</v>
      </c>
      <c r="B13" s="9">
        <f>COUNTIFS(RawData!F:F,$A13,RawData!$D:$D,$B$1)/TotalWeekRespondents</f>
        <v>0.3684210526</v>
      </c>
      <c r="C13" s="9">
        <f>COUNTIFS(RawData!G:G,$A13,RawData!$D:$D,$B$1)/TotalWeekRespondents</f>
        <v>0.3157894737</v>
      </c>
      <c r="D13" s="9">
        <f>COUNTIFS(RawData!H:H,$A13,RawData!$D:$D,$B$1)/TotalWeekRespondents</f>
        <v>0.1052631579</v>
      </c>
    </row>
    <row r="14">
      <c r="A14" s="1">
        <v>2.0</v>
      </c>
      <c r="B14" s="9">
        <f>COUNTIFS(RawData!F:F,$A14,RawData!$D:$D,$B$1)/TotalWeekRespondents</f>
        <v>0.2105263158</v>
      </c>
      <c r="C14" s="9">
        <f>COUNTIFS(RawData!G:G,$A14,RawData!$D:$D,$B$1)/TotalWeekRespondents</f>
        <v>0.2105263158</v>
      </c>
      <c r="D14" s="9">
        <f>COUNTIFS(RawData!H:H,$A14,RawData!$D:$D,$B$1)/TotalWeekRespondents</f>
        <v>0.3684210526</v>
      </c>
    </row>
    <row r="15">
      <c r="A15" s="1">
        <v>3.0</v>
      </c>
      <c r="B15" s="9">
        <f>COUNTIFS(RawData!F:F,$A15,RawData!$D:$D,$B$1)/TotalWeekRespondents</f>
        <v>0.1052631579</v>
      </c>
      <c r="C15" s="9">
        <f>COUNTIFS(RawData!G:G,$A15,RawData!$D:$D,$B$1)/TotalWeekRespondents</f>
        <v>0.2105263158</v>
      </c>
      <c r="D15" s="9">
        <f>COUNTIFS(RawData!H:H,$A15,RawData!$D:$D,$B$1)/TotalWeekRespondents</f>
        <v>0.3157894737</v>
      </c>
    </row>
    <row r="16">
      <c r="A16" s="1">
        <v>4.0</v>
      </c>
      <c r="B16" s="9">
        <f>COUNTIFS(RawData!F:F,$A16,RawData!$D:$D,$B$1)/TotalWeekRespondents</f>
        <v>0</v>
      </c>
      <c r="C16" s="9">
        <f>COUNTIFS(RawData!G:G,$A16,RawData!$D:$D,$B$1)/TotalWeekRespondents</f>
        <v>0.1052631579</v>
      </c>
      <c r="D16" s="9">
        <f>COUNTIFS(RawData!H:H,$A16,RawData!$D:$D,$B$1)/TotalWeekRespondents</f>
        <v>0</v>
      </c>
    </row>
    <row r="17">
      <c r="A17" s="1">
        <v>5.0</v>
      </c>
      <c r="B17" s="9">
        <f>COUNTIFS(RawData!F:F,$A17,RawData!$D:$D,$B$1)/TotalWeekRespondents</f>
        <v>0</v>
      </c>
      <c r="C17" s="9">
        <f>COUNTIFS(RawData!G:G,$A17,RawData!$D:$D,$B$1)/TotalWeekRespondents</f>
        <v>0</v>
      </c>
      <c r="D17" s="9">
        <f>COUNTIFS(RawData!H:H,$A17,RawData!$D:$D,$B$1)/TotalWeekRespondents</f>
        <v>0</v>
      </c>
    </row>
    <row r="18">
      <c r="A18" s="1">
        <v>6.0</v>
      </c>
      <c r="B18" s="9">
        <f>COUNTIFS(RawData!F:F,$A18,RawData!$D:$D,$B$1)/TotalWeekRespondents</f>
        <v>0.1052631579</v>
      </c>
      <c r="C18" s="9">
        <f>COUNTIFS(RawData!G:G,$A18,RawData!$D:$D,$B$1)/TotalWeekRespondents</f>
        <v>0</v>
      </c>
      <c r="D18" s="9">
        <f>COUNTIFS(RawData!H:H,$A18,RawData!$D:$D,$B$1)/TotalWeekRespondents</f>
        <v>0.05263157895</v>
      </c>
    </row>
    <row r="21">
      <c r="B21" s="1" t="s">
        <v>983</v>
      </c>
    </row>
    <row r="22">
      <c r="A22" s="1">
        <v>-3.0</v>
      </c>
      <c r="B22" s="1" t="s">
        <v>984</v>
      </c>
      <c r="C22" s="9">
        <f>COUNTIFS(RawData!K:K,A22,RawData!$D:$D,$B$1)/TotalWeekRespondents</f>
        <v>0.05263157895</v>
      </c>
    </row>
    <row r="23">
      <c r="A23" s="1">
        <v>-2.0</v>
      </c>
      <c r="B23" s="1" t="s">
        <v>991</v>
      </c>
      <c r="C23" s="9">
        <f>COUNTIFS(RawData!K:K,A23,RawData!$D:$D,$B$1)/TotalWeekRespondents</f>
        <v>0.1052631579</v>
      </c>
    </row>
    <row r="24">
      <c r="A24" s="1">
        <v>-1.0</v>
      </c>
      <c r="B24" s="1" t="s">
        <v>997</v>
      </c>
      <c r="C24" s="9">
        <f>COUNTIFS(RawData!K:K,A24,RawData!$D:$D,$B$1)/TotalWeekRespondents</f>
        <v>0.2105263158</v>
      </c>
    </row>
    <row r="25">
      <c r="A25" s="1">
        <v>0.0</v>
      </c>
      <c r="B25" s="1" t="s">
        <v>999</v>
      </c>
      <c r="C25" s="9">
        <f>COUNTIFS(RawData!K:K,A25,RawData!$D:$D,$B$1)/TotalWeekRespondents</f>
        <v>0.2105263158</v>
      </c>
      <c r="L25" s="16"/>
    </row>
    <row r="26">
      <c r="A26" s="1">
        <v>1.0</v>
      </c>
      <c r="B26" s="1" t="s">
        <v>1002</v>
      </c>
      <c r="C26" s="9">
        <f>COUNTIFS(RawData!K:K,A26,RawData!$D:$D,$B$1)/TotalWeekRespondents</f>
        <v>0.2631578947</v>
      </c>
    </row>
    <row r="27">
      <c r="A27" s="1">
        <v>2.0</v>
      </c>
      <c r="B27" s="1" t="s">
        <v>1005</v>
      </c>
      <c r="C27" s="9">
        <f>COUNTIFS(RawData!K:K,A27,RawData!$D:$D,$B$1)/TotalWeekRespondents</f>
        <v>0.1578947368</v>
      </c>
    </row>
    <row r="28">
      <c r="A28" s="1">
        <v>3.0</v>
      </c>
      <c r="B28" s="1" t="s">
        <v>1008</v>
      </c>
      <c r="C28" s="9">
        <f>COUNTIFS(RawData!K:K,A28,RawData!$D:$D,$B$1)/TotalWeekRespondents</f>
        <v>0</v>
      </c>
    </row>
    <row r="30">
      <c r="B30" s="1" t="s">
        <v>1011</v>
      </c>
    </row>
    <row r="31">
      <c r="A31" s="1">
        <v>-3.0</v>
      </c>
      <c r="B31" s="1" t="s">
        <v>1012</v>
      </c>
      <c r="C31" s="9">
        <f>COUNTIFS(RawData!L:L,A31,RawData!$D:$D,$B$1)/TotalWeekRespondents</f>
        <v>0.05263157895</v>
      </c>
    </row>
    <row r="32">
      <c r="A32" s="1">
        <v>-2.0</v>
      </c>
      <c r="C32" s="9">
        <f>COUNTIFS(RawData!L:L,A32,RawData!$D:$D,$B$1)/TotalWeekRespondents</f>
        <v>0.05263157895</v>
      </c>
    </row>
    <row r="33">
      <c r="A33" s="1">
        <v>-1.0</v>
      </c>
      <c r="C33" s="9">
        <f>COUNTIFS(RawData!L:L,A33,RawData!$D:$D,$B$1)/TotalWeekRespondents</f>
        <v>0.1578947368</v>
      </c>
    </row>
    <row r="34">
      <c r="A34" s="1">
        <v>0.0</v>
      </c>
      <c r="B34" s="1" t="s">
        <v>1017</v>
      </c>
      <c r="C34" s="9">
        <f>COUNTIFS(RawData!L:L,A34,RawData!$D:$D,$B$1)/TotalWeekRespondents</f>
        <v>0.2631578947</v>
      </c>
    </row>
    <row r="35">
      <c r="A35" s="1">
        <v>1.0</v>
      </c>
      <c r="C35" s="9">
        <f>COUNTIFS(RawData!L:L,A35,RawData!$D:$D,$B$1)/TotalWeekRespondents</f>
        <v>0.2105263158</v>
      </c>
    </row>
    <row r="36">
      <c r="A36" s="1">
        <v>2.0</v>
      </c>
      <c r="C36" s="9">
        <f>COUNTIFS(RawData!L:L,A36,RawData!$D:$D,$B$1)/TotalWeekRespondents</f>
        <v>0.1052631579</v>
      </c>
    </row>
    <row r="37">
      <c r="A37" s="1">
        <v>3.0</v>
      </c>
      <c r="B37" s="1" t="s">
        <v>1026</v>
      </c>
      <c r="C37" s="9">
        <f>COUNTIFS(RawData!L:L,A37,RawData!$D:$D,$B$1)/TotalWeekRespondents</f>
        <v>0.1578947368</v>
      </c>
    </row>
    <row r="40">
      <c r="B40" s="1" t="s">
        <v>1031</v>
      </c>
    </row>
    <row r="41">
      <c r="A41" s="1">
        <v>1.0</v>
      </c>
      <c r="B41" s="1" t="s">
        <v>1032</v>
      </c>
      <c r="C41" s="9">
        <f>COUNTIFS(RawData!J:J,A41,RawData!$D:$D,$B$1)/TotalWeekRespondents</f>
        <v>0.05263157895</v>
      </c>
    </row>
    <row r="42">
      <c r="A42" s="1">
        <v>2.0</v>
      </c>
      <c r="C42" s="9">
        <f>COUNTIFS(RawData!J:J,A42,RawData!$D:$D,$B$1)/TotalWeekRespondents</f>
        <v>0.1052631579</v>
      </c>
    </row>
    <row r="43">
      <c r="A43" s="1">
        <v>3.0</v>
      </c>
      <c r="C43" s="9">
        <f>COUNTIFS(RawData!J:J,A43,RawData!$D:$D,$B$1)/TotalWeekRespondents</f>
        <v>0.1578947368</v>
      </c>
    </row>
    <row r="44">
      <c r="A44" s="1">
        <v>4.0</v>
      </c>
      <c r="B44" s="1" t="s">
        <v>1045</v>
      </c>
      <c r="C44" s="9">
        <f>COUNTIFS(RawData!J:J,A44,RawData!$D:$D,$B$1)/TotalWeekRespondents</f>
        <v>0.2105263158</v>
      </c>
    </row>
    <row r="45">
      <c r="A45" s="1">
        <v>5.0</v>
      </c>
      <c r="C45" s="9">
        <f>COUNTIFS(RawData!J:J,A45,RawData!$D:$D,$B$1)/TotalWeekRespondents</f>
        <v>0.2105263158</v>
      </c>
    </row>
    <row r="46">
      <c r="A46" s="1">
        <v>6.0</v>
      </c>
      <c r="C46" s="9">
        <f>COUNTIFS(RawData!J:J,A46,RawData!$D:$D,$B$1)/TotalWeekRespondents</f>
        <v>0.2105263158</v>
      </c>
    </row>
    <row r="47">
      <c r="A47" s="1">
        <v>7.0</v>
      </c>
      <c r="B47" s="1" t="s">
        <v>1055</v>
      </c>
      <c r="C47" s="9">
        <f>COUNTIFS(RawData!J:J,A47,RawData!$D:$D,$B$1)/TotalWeekRespondents</f>
        <v>0.05263157895</v>
      </c>
    </row>
    <row r="49">
      <c r="B49" s="1">
        <v>0.0</v>
      </c>
      <c r="C49" s="1">
        <v>1.0</v>
      </c>
      <c r="D49" s="1">
        <v>2.0</v>
      </c>
      <c r="E49" s="1">
        <v>3.0</v>
      </c>
      <c r="F49" s="1">
        <v>4.0</v>
      </c>
      <c r="G49" s="1">
        <v>5.0</v>
      </c>
      <c r="H49" s="1">
        <v>6.0</v>
      </c>
      <c r="I49" s="1">
        <v>7.0</v>
      </c>
      <c r="J49" s="1">
        <v>8.0</v>
      </c>
      <c r="K49" s="1">
        <v>9.0</v>
      </c>
      <c r="L49" s="1">
        <v>10.0</v>
      </c>
      <c r="M49" s="1">
        <v>11.0</v>
      </c>
      <c r="N49" s="1">
        <v>12.0</v>
      </c>
    </row>
    <row r="50">
      <c r="A50" s="1" t="s">
        <v>1064</v>
      </c>
      <c r="B50" s="7">
        <f>COUNTIFS(RawData!$E:$E,"*" &amp; $A50 &amp; "*",RawData!$D:$D,B$49)</f>
        <v>36</v>
      </c>
      <c r="C50" s="7">
        <f>COUNTIFS(RawData!$E:$E,"*" &amp; $A50 &amp; "*",RawData!$D:$D,C$49)</f>
        <v>44</v>
      </c>
      <c r="D50" s="7">
        <f>COUNTIFS(RawData!$E:$E,"*" &amp; $A50 &amp; "*",RawData!$D:$D,D$49)</f>
        <v>47</v>
      </c>
      <c r="E50" s="7">
        <f>COUNTIFS(RawData!$E:$E,"*" &amp; $A50 &amp; "*",RawData!$D:$D,E$49)</f>
        <v>45</v>
      </c>
      <c r="F50" s="7">
        <f>COUNTIFS(RawData!$E:$E,"*" &amp; $A50 &amp; "*",RawData!$D:$D,F$49)</f>
        <v>43</v>
      </c>
      <c r="G50" s="7">
        <f>COUNTIFS(RawData!$E:$E,"*" &amp; $A50 &amp; "*",RawData!$D:$D,G$49)</f>
        <v>34</v>
      </c>
      <c r="H50" s="7">
        <f>COUNTIFS(RawData!$E:$E,"*" &amp; $A50 &amp; "*",RawData!$D:$D,H$49)</f>
        <v>40</v>
      </c>
      <c r="I50" s="7">
        <f>COUNTIFS(RawData!$E:$E,"*" &amp; $A50 &amp; "*",RawData!$D:$D,I$49)</f>
        <v>40</v>
      </c>
      <c r="J50" s="7">
        <f>COUNTIFS(RawData!$E:$E,"*" &amp; $A50 &amp; "*",RawData!$D:$D,J$49)</f>
        <v>10</v>
      </c>
      <c r="K50" s="7">
        <f>COUNTIFS(RawData!$E:$E,"*" &amp; $A50 &amp; "*",RawData!$D:$D,K$49)</f>
        <v>0</v>
      </c>
      <c r="L50" s="7">
        <f>COUNTIFS(RawData!$E:$E,"*" &amp; $A50 &amp; "*",RawData!$D:$D,L$49)</f>
        <v>0</v>
      </c>
      <c r="M50" s="7">
        <f>COUNTIFS(RawData!$E:$E,"*" &amp; $A50 &amp; "*",RawData!$D:$D,M$49)</f>
        <v>0</v>
      </c>
      <c r="N50" s="7">
        <f>COUNTIFS(RawData!$E:$E,"*" &amp; $A50 &amp; "*",RawData!$D:$D,N$49)</f>
        <v>0</v>
      </c>
    </row>
    <row r="51">
      <c r="A51" s="17" t="s">
        <v>1095</v>
      </c>
      <c r="B51" s="7">
        <f>COUNTIFS(RawData!$E:$E,"*" &amp; $A51 &amp; "*",RawData!$D:$D,B$49)</f>
        <v>10</v>
      </c>
      <c r="C51" s="7">
        <f>COUNTIFS(RawData!$E:$E,"*" &amp; $A51 &amp; "*",RawData!$D:$D,C$49)</f>
        <v>12</v>
      </c>
      <c r="D51" s="7">
        <f>COUNTIFS(RawData!$E:$E,"*" &amp; $A51 &amp; "*",RawData!$D:$D,D$49)</f>
        <v>10</v>
      </c>
      <c r="E51" s="7">
        <f>COUNTIFS(RawData!$E:$E,"*" &amp; $A51 &amp; "*",RawData!$D:$D,E$49)</f>
        <v>9</v>
      </c>
      <c r="F51" s="7">
        <f>COUNTIFS(RawData!$E:$E,"*" &amp; $A51 &amp; "*",RawData!$D:$D,F$49)</f>
        <v>5</v>
      </c>
      <c r="G51" s="7">
        <f>COUNTIFS(RawData!$E:$E,"*" &amp; $A51 &amp; "*",RawData!$D:$D,G$49)</f>
        <v>4</v>
      </c>
      <c r="H51" s="7">
        <f>COUNTIFS(RawData!$E:$E,"*" &amp; $A51 &amp; "*",RawData!$D:$D,H$49)</f>
        <v>3</v>
      </c>
      <c r="I51" s="7">
        <f>COUNTIFS(RawData!$E:$E,"*" &amp; $A51 &amp; "*",RawData!$D:$D,I$49)</f>
        <v>6</v>
      </c>
      <c r="J51" s="7">
        <f>COUNTIFS(RawData!$E:$E,"*" &amp; $A51 &amp; "*",RawData!$D:$D,J$49)</f>
        <v>0</v>
      </c>
      <c r="K51" s="7">
        <f>COUNTIFS(RawData!$E:$E,"*" &amp; $A51 &amp; "*",RawData!$D:$D,K$49)</f>
        <v>0</v>
      </c>
      <c r="L51" s="7">
        <f>COUNTIFS(RawData!$E:$E,"*" &amp; $A51 &amp; "*",RawData!$D:$D,L$49)</f>
        <v>0</v>
      </c>
      <c r="M51" s="7">
        <f>COUNTIFS(RawData!$E:$E,"*" &amp; $A51 &amp; "*",RawData!$D:$D,M$49)</f>
        <v>0</v>
      </c>
      <c r="N51" s="7">
        <f>COUNTIFS(RawData!$E:$E,"*" &amp; $A51 &amp; "*",RawData!$D:$D,N$49)</f>
        <v>0</v>
      </c>
    </row>
    <row r="52">
      <c r="A52" s="17" t="s">
        <v>1128</v>
      </c>
      <c r="B52" s="7">
        <f>COUNTIFS(RawData!$E:$E,"*" &amp; $A52 &amp; "*",RawData!$D:$D,B$49)</f>
        <v>13</v>
      </c>
      <c r="C52" s="7">
        <f>COUNTIFS(RawData!$E:$E,"*" &amp; $A52 &amp; "*",RawData!$D:$D,C$49)</f>
        <v>9</v>
      </c>
      <c r="D52" s="7">
        <f>COUNTIFS(RawData!$E:$E,"*" &amp; $A52 &amp; "*",RawData!$D:$D,D$49)</f>
        <v>13</v>
      </c>
      <c r="E52" s="7">
        <f>COUNTIFS(RawData!$E:$E,"*" &amp; $A52 &amp; "*",RawData!$D:$D,E$49)</f>
        <v>7</v>
      </c>
      <c r="F52" s="7">
        <f>COUNTIFS(RawData!$E:$E,"*" &amp; $A52 &amp; "*",RawData!$D:$D,F$49)</f>
        <v>7</v>
      </c>
      <c r="G52" s="7">
        <f>COUNTIFS(RawData!$E:$E,"*" &amp; $A52 &amp; "*",RawData!$D:$D,G$49)</f>
        <v>3</v>
      </c>
      <c r="H52" s="7">
        <f>COUNTIFS(RawData!$E:$E,"*" &amp; $A52 &amp; "*",RawData!$D:$D,H$49)</f>
        <v>5</v>
      </c>
      <c r="I52" s="7">
        <f>COUNTIFS(RawData!$E:$E,"*" &amp; $A52 &amp; "*",RawData!$D:$D,I$49)</f>
        <v>3</v>
      </c>
      <c r="J52" s="7">
        <f>COUNTIFS(RawData!$E:$E,"*" &amp; $A52 &amp; "*",RawData!$D:$D,J$49)</f>
        <v>2</v>
      </c>
      <c r="K52" s="7">
        <f>COUNTIFS(RawData!$E:$E,"*" &amp; $A52 &amp; "*",RawData!$D:$D,K$49)</f>
        <v>0</v>
      </c>
      <c r="L52" s="7">
        <f>COUNTIFS(RawData!$E:$E,"*" &amp; $A52 &amp; "*",RawData!$D:$D,L$49)</f>
        <v>0</v>
      </c>
      <c r="M52" s="7">
        <f>COUNTIFS(RawData!$E:$E,"*" &amp; $A52 &amp; "*",RawData!$D:$D,M$49)</f>
        <v>0</v>
      </c>
      <c r="N52" s="7">
        <f>COUNTIFS(RawData!$E:$E,"*" &amp; $A52 &amp; "*",RawData!$D:$D,N$49)</f>
        <v>0</v>
      </c>
    </row>
    <row r="53">
      <c r="A53" s="17" t="s">
        <v>1162</v>
      </c>
      <c r="B53" s="7">
        <f>COUNTIFS(RawData!$E:$E,"*" &amp; $A53 &amp; "*",RawData!$D:$D,B$49)</f>
        <v>13</v>
      </c>
      <c r="C53" s="7">
        <f>COUNTIFS(RawData!$E:$E,"*" &amp; $A53 &amp; "*",RawData!$D:$D,C$49)</f>
        <v>10</v>
      </c>
      <c r="D53" s="7">
        <f>COUNTIFS(RawData!$E:$E,"*" &amp; $A53 &amp; "*",RawData!$D:$D,D$49)</f>
        <v>11</v>
      </c>
      <c r="E53" s="7">
        <f>COUNTIFS(RawData!$E:$E,"*" &amp; $A53 &amp; "*",RawData!$D:$D,E$49)</f>
        <v>10</v>
      </c>
      <c r="F53" s="7">
        <f>COUNTIFS(RawData!$E:$E,"*" &amp; $A53 &amp; "*",RawData!$D:$D,F$49)</f>
        <v>8</v>
      </c>
      <c r="G53" s="7">
        <f>COUNTIFS(RawData!$E:$E,"*" &amp; $A53 &amp; "*",RawData!$D:$D,G$49)</f>
        <v>9</v>
      </c>
      <c r="H53" s="7">
        <f>COUNTIFS(RawData!$E:$E,"*" &amp; $A53 &amp; "*",RawData!$D:$D,H$49)</f>
        <v>6</v>
      </c>
      <c r="I53" s="7">
        <f>COUNTIFS(RawData!$E:$E,"*" &amp; $A53 &amp; "*",RawData!$D:$D,I$49)</f>
        <v>7</v>
      </c>
      <c r="J53" s="7">
        <f>COUNTIFS(RawData!$E:$E,"*" &amp; $A53 &amp; "*",RawData!$D:$D,J$49)</f>
        <v>4</v>
      </c>
      <c r="K53" s="7">
        <f>COUNTIFS(RawData!$E:$E,"*" &amp; $A53 &amp; "*",RawData!$D:$D,K$49)</f>
        <v>0</v>
      </c>
      <c r="L53" s="7">
        <f>COUNTIFS(RawData!$E:$E,"*" &amp; $A53 &amp; "*",RawData!$D:$D,L$49)</f>
        <v>0</v>
      </c>
      <c r="M53" s="7">
        <f>COUNTIFS(RawData!$E:$E,"*" &amp; $A53 &amp; "*",RawData!$D:$D,M$49)</f>
        <v>0</v>
      </c>
      <c r="N53" s="7">
        <f>COUNTIFS(RawData!$E:$E,"*" &amp; $A53 &amp; "*",RawData!$D:$D,N$49)</f>
        <v>0</v>
      </c>
    </row>
    <row r="54">
      <c r="A54" s="17" t="s">
        <v>1196</v>
      </c>
      <c r="B54" s="7">
        <f>COUNTIFS(RawData!$E:$E,"*" &amp; $A54 &amp; "*",RawData!$D:$D,B$49)</f>
        <v>11</v>
      </c>
      <c r="C54" s="7">
        <f>COUNTIFS(RawData!$E:$E,"*" &amp; $A54 &amp; "*",RawData!$D:$D,C$49)</f>
        <v>9</v>
      </c>
      <c r="D54" s="7">
        <f>COUNTIFS(RawData!$E:$E,"*" &amp; $A54 &amp; "*",RawData!$D:$D,D$49)</f>
        <v>5</v>
      </c>
      <c r="E54" s="7">
        <f>COUNTIFS(RawData!$E:$E,"*" &amp; $A54 &amp; "*",RawData!$D:$D,E$49)</f>
        <v>5</v>
      </c>
      <c r="F54" s="7">
        <f>COUNTIFS(RawData!$E:$E,"*" &amp; $A54 &amp; "*",RawData!$D:$D,F$49)</f>
        <v>5</v>
      </c>
      <c r="G54" s="7">
        <f>COUNTIFS(RawData!$E:$E,"*" &amp; $A54 &amp; "*",RawData!$D:$D,G$49)</f>
        <v>4</v>
      </c>
      <c r="H54" s="7">
        <f>COUNTIFS(RawData!$E:$E,"*" &amp; $A54 &amp; "*",RawData!$D:$D,H$49)</f>
        <v>3</v>
      </c>
      <c r="I54" s="7">
        <f>COUNTIFS(RawData!$E:$E,"*" &amp; $A54 &amp; "*",RawData!$D:$D,I$49)</f>
        <v>2</v>
      </c>
      <c r="J54" s="7">
        <f>COUNTIFS(RawData!$E:$E,"*" &amp; $A54 &amp; "*",RawData!$D:$D,J$49)</f>
        <v>2</v>
      </c>
      <c r="K54" s="7">
        <f>COUNTIFS(RawData!$E:$E,"*" &amp; $A54 &amp; "*",RawData!$D:$D,K$49)</f>
        <v>0</v>
      </c>
      <c r="L54" s="7">
        <f>COUNTIFS(RawData!$E:$E,"*" &amp; $A54 &amp; "*",RawData!$D:$D,L$49)</f>
        <v>0</v>
      </c>
      <c r="M54" s="7">
        <f>COUNTIFS(RawData!$E:$E,"*" &amp; $A54 &amp; "*",RawData!$D:$D,M$49)</f>
        <v>0</v>
      </c>
      <c r="N54" s="7">
        <f>COUNTIFS(RawData!$E:$E,"*" &amp; $A54 &amp; "*",RawData!$D:$D,N$49)</f>
        <v>0</v>
      </c>
    </row>
    <row r="57">
      <c r="B57" s="1" t="s">
        <v>116</v>
      </c>
      <c r="C57" s="1" t="s">
        <v>147</v>
      </c>
      <c r="D57" s="1" t="s">
        <v>163</v>
      </c>
      <c r="E57" s="1" t="s">
        <v>172</v>
      </c>
      <c r="F57" s="1" t="s">
        <v>185</v>
      </c>
      <c r="G57" s="1" t="s">
        <v>197</v>
      </c>
      <c r="H57" s="1" t="s">
        <v>212</v>
      </c>
      <c r="I57" s="1" t="s">
        <v>231</v>
      </c>
      <c r="J57" s="1" t="s">
        <v>250</v>
      </c>
      <c r="K57" s="1" t="s">
        <v>264</v>
      </c>
      <c r="L57" s="1" t="s">
        <v>272</v>
      </c>
      <c r="M57" s="1" t="s">
        <v>287</v>
      </c>
      <c r="N57" s="1" t="s">
        <v>304</v>
      </c>
    </row>
    <row r="58">
      <c r="A58" s="1" t="s">
        <v>1064</v>
      </c>
      <c r="B58" s="9">
        <f t="shared" ref="B58:N58" si="1">B50/MAX($B50:$K50)</f>
        <v>0.7659574468</v>
      </c>
      <c r="C58" s="9">
        <f t="shared" si="1"/>
        <v>0.9361702128</v>
      </c>
      <c r="D58" s="9">
        <f t="shared" si="1"/>
        <v>1</v>
      </c>
      <c r="E58" s="9">
        <f t="shared" si="1"/>
        <v>0.9574468085</v>
      </c>
      <c r="F58" s="9">
        <f t="shared" si="1"/>
        <v>0.914893617</v>
      </c>
      <c r="G58" s="9">
        <f t="shared" si="1"/>
        <v>0.7234042553</v>
      </c>
      <c r="H58" s="9">
        <f t="shared" si="1"/>
        <v>0.8510638298</v>
      </c>
      <c r="I58" s="9">
        <f t="shared" si="1"/>
        <v>0.8510638298</v>
      </c>
      <c r="J58" s="9">
        <f t="shared" si="1"/>
        <v>0.2127659574</v>
      </c>
      <c r="K58" s="9">
        <f t="shared" si="1"/>
        <v>0</v>
      </c>
      <c r="L58" s="9">
        <f t="shared" si="1"/>
        <v>0</v>
      </c>
      <c r="M58" s="9">
        <f t="shared" si="1"/>
        <v>0</v>
      </c>
      <c r="N58" s="9">
        <f t="shared" si="1"/>
        <v>0</v>
      </c>
    </row>
    <row r="59">
      <c r="A59" s="17" t="s">
        <v>1095</v>
      </c>
      <c r="B59" s="9">
        <f t="shared" ref="B59:N59" si="2">B51/MAX($B51:$K51)</f>
        <v>0.8333333333</v>
      </c>
      <c r="C59" s="9">
        <f t="shared" si="2"/>
        <v>1</v>
      </c>
      <c r="D59" s="9">
        <f t="shared" si="2"/>
        <v>0.8333333333</v>
      </c>
      <c r="E59" s="9">
        <f t="shared" si="2"/>
        <v>0.75</v>
      </c>
      <c r="F59" s="9">
        <f t="shared" si="2"/>
        <v>0.4166666667</v>
      </c>
      <c r="G59" s="9">
        <f t="shared" si="2"/>
        <v>0.3333333333</v>
      </c>
      <c r="H59" s="9">
        <f t="shared" si="2"/>
        <v>0.25</v>
      </c>
      <c r="I59" s="9">
        <f t="shared" si="2"/>
        <v>0.5</v>
      </c>
      <c r="J59" s="9">
        <f t="shared" si="2"/>
        <v>0</v>
      </c>
      <c r="K59" s="9">
        <f t="shared" si="2"/>
        <v>0</v>
      </c>
      <c r="L59" s="9">
        <f t="shared" si="2"/>
        <v>0</v>
      </c>
      <c r="M59" s="9">
        <f t="shared" si="2"/>
        <v>0</v>
      </c>
      <c r="N59" s="9">
        <f t="shared" si="2"/>
        <v>0</v>
      </c>
    </row>
    <row r="60">
      <c r="A60" s="17" t="s">
        <v>1128</v>
      </c>
      <c r="B60" s="9">
        <f t="shared" ref="B60:N60" si="3">B52/MAX($B52:$K52)</f>
        <v>1</v>
      </c>
      <c r="C60" s="9">
        <f t="shared" si="3"/>
        <v>0.6923076923</v>
      </c>
      <c r="D60" s="9">
        <f t="shared" si="3"/>
        <v>1</v>
      </c>
      <c r="E60" s="9">
        <f t="shared" si="3"/>
        <v>0.5384615385</v>
      </c>
      <c r="F60" s="9">
        <f t="shared" si="3"/>
        <v>0.5384615385</v>
      </c>
      <c r="G60" s="9">
        <f t="shared" si="3"/>
        <v>0.2307692308</v>
      </c>
      <c r="H60" s="9">
        <f t="shared" si="3"/>
        <v>0.3846153846</v>
      </c>
      <c r="I60" s="9">
        <f t="shared" si="3"/>
        <v>0.2307692308</v>
      </c>
      <c r="J60" s="9">
        <f t="shared" si="3"/>
        <v>0.1538461538</v>
      </c>
      <c r="K60" s="9">
        <f t="shared" si="3"/>
        <v>0</v>
      </c>
      <c r="L60" s="9">
        <f t="shared" si="3"/>
        <v>0</v>
      </c>
      <c r="M60" s="9">
        <f t="shared" si="3"/>
        <v>0</v>
      </c>
      <c r="N60" s="9">
        <f t="shared" si="3"/>
        <v>0</v>
      </c>
    </row>
    <row r="61">
      <c r="A61" s="17" t="s">
        <v>1162</v>
      </c>
      <c r="B61" s="9">
        <f t="shared" ref="B61:N61" si="4">B53/MAX($B53:$K53)</f>
        <v>1</v>
      </c>
      <c r="C61" s="9">
        <f t="shared" si="4"/>
        <v>0.7692307692</v>
      </c>
      <c r="D61" s="9">
        <f t="shared" si="4"/>
        <v>0.8461538462</v>
      </c>
      <c r="E61" s="9">
        <f t="shared" si="4"/>
        <v>0.7692307692</v>
      </c>
      <c r="F61" s="9">
        <f t="shared" si="4"/>
        <v>0.6153846154</v>
      </c>
      <c r="G61" s="9">
        <f t="shared" si="4"/>
        <v>0.6923076923</v>
      </c>
      <c r="H61" s="9">
        <f t="shared" si="4"/>
        <v>0.4615384615</v>
      </c>
      <c r="I61" s="9">
        <f t="shared" si="4"/>
        <v>0.5384615385</v>
      </c>
      <c r="J61" s="9">
        <f t="shared" si="4"/>
        <v>0.3076923077</v>
      </c>
      <c r="K61" s="9">
        <f t="shared" si="4"/>
        <v>0</v>
      </c>
      <c r="L61" s="9">
        <f t="shared" si="4"/>
        <v>0</v>
      </c>
      <c r="M61" s="9">
        <f t="shared" si="4"/>
        <v>0</v>
      </c>
      <c r="N61" s="9">
        <f t="shared" si="4"/>
        <v>0</v>
      </c>
    </row>
    <row r="62">
      <c r="A62" s="17" t="s">
        <v>1196</v>
      </c>
      <c r="B62" s="9">
        <f t="shared" ref="B62:N62" si="5">B54/MAX($B54:$K54)</f>
        <v>1</v>
      </c>
      <c r="C62" s="9">
        <f t="shared" si="5"/>
        <v>0.8181818182</v>
      </c>
      <c r="D62" s="9">
        <f t="shared" si="5"/>
        <v>0.4545454545</v>
      </c>
      <c r="E62" s="9">
        <f t="shared" si="5"/>
        <v>0.4545454545</v>
      </c>
      <c r="F62" s="9">
        <f t="shared" si="5"/>
        <v>0.4545454545</v>
      </c>
      <c r="G62" s="9">
        <f t="shared" si="5"/>
        <v>0.3636363636</v>
      </c>
      <c r="H62" s="9">
        <f t="shared" si="5"/>
        <v>0.2727272727</v>
      </c>
      <c r="I62" s="9">
        <f t="shared" si="5"/>
        <v>0.1818181818</v>
      </c>
      <c r="J62" s="9">
        <f t="shared" si="5"/>
        <v>0.1818181818</v>
      </c>
      <c r="K62" s="9">
        <f t="shared" si="5"/>
        <v>0</v>
      </c>
      <c r="L62" s="9">
        <f t="shared" si="5"/>
        <v>0</v>
      </c>
      <c r="M62" s="9">
        <f t="shared" si="5"/>
        <v>0</v>
      </c>
      <c r="N62" s="9">
        <f t="shared" si="5"/>
        <v>0</v>
      </c>
    </row>
    <row r="65">
      <c r="B65" s="1">
        <v>1.0</v>
      </c>
      <c r="C65" s="1">
        <v>2.0</v>
      </c>
      <c r="D65" s="1">
        <v>3.0</v>
      </c>
      <c r="E65" s="1">
        <v>4.0</v>
      </c>
      <c r="F65" s="1">
        <v>5.0</v>
      </c>
      <c r="G65" s="1">
        <v>6.0</v>
      </c>
      <c r="H65" s="1">
        <v>7.0</v>
      </c>
      <c r="I65" s="1">
        <v>8.0</v>
      </c>
      <c r="J65" s="1">
        <v>9.0</v>
      </c>
      <c r="K65" s="1">
        <v>10.0</v>
      </c>
    </row>
    <row r="66">
      <c r="A66" s="1" t="s">
        <v>1252</v>
      </c>
      <c r="B66" s="1">
        <f>SUMIF(RawData!$D:$D,B65,RawData!$F:$F)</f>
        <v>150</v>
      </c>
      <c r="C66" s="1">
        <f>SUMIF(RawData!$D:$D,C65,RawData!$F:$F)</f>
        <v>144</v>
      </c>
      <c r="D66" s="1">
        <f>SUMIF(RawData!$D:$D,D65,RawData!$F:$F)</f>
        <v>149</v>
      </c>
      <c r="E66" s="1">
        <f>SUMIF(RawData!$D:$D,E65,RawData!$F:$F)</f>
        <v>121</v>
      </c>
      <c r="F66" s="1">
        <f>SUMIF(RawData!$D:$D,F65,RawData!$F:$F)</f>
        <v>90</v>
      </c>
      <c r="G66" s="1">
        <f>SUMIF(RawData!$D:$D,G65,RawData!$F:$F)</f>
        <v>102</v>
      </c>
      <c r="H66" s="1">
        <f>SUMIF(RawData!$D:$D,H65,RawData!$F:$F)</f>
        <v>103</v>
      </c>
      <c r="I66" s="1">
        <f>SUMIF(RawData!$D:$D,I65,RawData!$F:$F)</f>
        <v>33</v>
      </c>
      <c r="J66" s="1">
        <f>SUMIF(RawData!$D:$D,J65,RawData!$F:$F)</f>
        <v>0</v>
      </c>
      <c r="K66" s="1">
        <f>SUMIF(RawData!$D:$D,K65,RawData!$F:$F)</f>
        <v>0</v>
      </c>
    </row>
    <row r="67">
      <c r="A67" s="1" t="s">
        <v>1264</v>
      </c>
      <c r="B67" s="1">
        <f>SUMIF(RawData!$D:$D,B65,RawData!$G:$G)</f>
        <v>165</v>
      </c>
      <c r="C67" s="1">
        <f>SUMIF(RawData!$D:$D,C65,RawData!$G:$G)</f>
        <v>190</v>
      </c>
      <c r="D67" s="1">
        <f>SUMIF(RawData!$D:$D,D65,RawData!$G:$G)</f>
        <v>155</v>
      </c>
      <c r="E67" s="1">
        <f>SUMIF(RawData!$D:$D,E65,RawData!$G:$G)</f>
        <v>129</v>
      </c>
      <c r="F67" s="1">
        <f>SUMIF(RawData!$D:$D,F65,RawData!$G:$G)</f>
        <v>113</v>
      </c>
      <c r="G67" s="1">
        <f>SUMIF(RawData!$D:$D,G65,RawData!$G:$G)</f>
        <v>114</v>
      </c>
      <c r="H67" s="1">
        <f>SUMIF(RawData!$D:$D,H65,RawData!$G:$G)</f>
        <v>100</v>
      </c>
      <c r="I67" s="1">
        <f>SUMIF(RawData!$D:$D,I65,RawData!$G:$G)</f>
        <v>34</v>
      </c>
      <c r="J67" s="1">
        <f>SUMIF(RawData!$D:$D,J65,RawData!$G:$G)</f>
        <v>0</v>
      </c>
      <c r="K67" s="1">
        <f>SUMIF(RawData!$D:$D,K65,RawData!$G:$G)</f>
        <v>0</v>
      </c>
    </row>
    <row r="68">
      <c r="A68" s="15"/>
      <c r="B68" s="15">
        <f t="shared" ref="B68:K68" si="6">B67/B66</f>
        <v>1.1</v>
      </c>
      <c r="C68" s="15">
        <f t="shared" si="6"/>
        <v>1.319444444</v>
      </c>
      <c r="D68" s="15">
        <f t="shared" si="6"/>
        <v>1.040268456</v>
      </c>
      <c r="E68" s="15">
        <f t="shared" si="6"/>
        <v>1.066115702</v>
      </c>
      <c r="F68" s="15">
        <f t="shared" si="6"/>
        <v>1.255555556</v>
      </c>
      <c r="G68" s="15">
        <f t="shared" si="6"/>
        <v>1.117647059</v>
      </c>
      <c r="H68" s="15">
        <f t="shared" si="6"/>
        <v>0.9708737864</v>
      </c>
      <c r="I68" s="15">
        <f t="shared" si="6"/>
        <v>1.03030303</v>
      </c>
      <c r="J68" s="15" t="str">
        <f t="shared" si="6"/>
        <v>#DIV/0!</v>
      </c>
      <c r="K68" s="15" t="str">
        <f t="shared" si="6"/>
        <v>#DIV/0!</v>
      </c>
      <c r="L68" s="15"/>
      <c r="M68" s="15"/>
      <c r="N68" s="15"/>
      <c r="O68" s="15"/>
      <c r="P68" s="15"/>
      <c r="Q68" s="15"/>
      <c r="R68" s="15"/>
      <c r="S68" s="15"/>
      <c r="T68" s="15"/>
      <c r="U68" s="15"/>
      <c r="V68" s="15"/>
      <c r="W68" s="15"/>
      <c r="X68" s="15"/>
      <c r="Y68" s="15"/>
      <c r="Z68" s="15"/>
    </row>
    <row r="70">
      <c r="A70" s="1" t="s">
        <v>1265</v>
      </c>
      <c r="B70" s="15">
        <f>SUMIF(RawData!$D:$D,B65,RawData!$L:$L)/COUNTIF(RawData!$D:$D,B65)</f>
        <v>-0.03157894737</v>
      </c>
      <c r="C70" s="15">
        <f>SUMIF(RawData!$D:$D,C65,RawData!$L:$L)/COUNTIF(RawData!$D:$D,C65)</f>
        <v>-0.2105263158</v>
      </c>
      <c r="D70" s="15">
        <f>SUMIF(RawData!$D:$D,D65,RawData!$L:$L)/COUNTIF(RawData!$D:$D,D65)</f>
        <v>-0.2873563218</v>
      </c>
      <c r="E70" s="15">
        <f>SUMIF(RawData!$D:$D,E65,RawData!$L:$L)/COUNTIF(RawData!$D:$D,E65)</f>
        <v>-0.2465753425</v>
      </c>
      <c r="F70" s="15">
        <f>SUMIF(RawData!$D:$D,F65,RawData!$L:$L)/COUNTIF(RawData!$D:$D,F65)</f>
        <v>0.06779661017</v>
      </c>
      <c r="G70" s="15">
        <f>SUMIF(RawData!$D:$D,G65,RawData!$L:$L)/COUNTIF(RawData!$D:$D,G65)</f>
        <v>-0.2372881356</v>
      </c>
      <c r="H70" s="15">
        <f>SUMIF(RawData!$D:$D,H65,RawData!$L:$L)/COUNTIF(RawData!$D:$D,H65)</f>
        <v>-0.1612903226</v>
      </c>
      <c r="I70" s="15">
        <f>SUMIF(RawData!$D:$D,I65,RawData!$L:$L)/COUNTIF(RawData!$D:$D,I65)</f>
        <v>0.4736842105</v>
      </c>
      <c r="J70" s="15" t="str">
        <f>SUMIF(RawData!$D:$D,J65,RawData!$L:$L)/COUNTIF(RawData!$D:$D,J65)</f>
        <v>#DIV/0!</v>
      </c>
      <c r="K70" s="15" t="str">
        <f>SUMIF(RawData!$D:$D,K65,RawData!$L:$L)/COUNTIF(RawData!$D:$D,K65)</f>
        <v>#DIV/0!</v>
      </c>
    </row>
    <row r="75">
      <c r="A75" s="5"/>
      <c r="B75" s="5"/>
      <c r="C75" s="6" t="s">
        <v>1266</v>
      </c>
      <c r="D75" s="6" t="s">
        <v>1267</v>
      </c>
      <c r="E75" s="6" t="s">
        <v>1268</v>
      </c>
      <c r="F75" s="6" t="s">
        <v>1269</v>
      </c>
      <c r="G75" s="6" t="s">
        <v>1270</v>
      </c>
      <c r="H75" s="6" t="s">
        <v>1271</v>
      </c>
      <c r="I75" s="6" t="s">
        <v>1272</v>
      </c>
      <c r="K75" s="5"/>
      <c r="L75" s="5"/>
      <c r="M75" s="5"/>
      <c r="N75" s="5"/>
      <c r="O75" s="5"/>
      <c r="P75" s="5"/>
      <c r="Q75" s="5"/>
      <c r="R75" s="5"/>
      <c r="S75" s="5"/>
      <c r="T75" s="5"/>
      <c r="U75" s="5"/>
      <c r="V75" s="5"/>
      <c r="W75" s="5"/>
      <c r="X75" s="5"/>
      <c r="Y75" s="5"/>
      <c r="Z75" s="5"/>
    </row>
    <row r="76">
      <c r="A76" s="1">
        <v>0.0</v>
      </c>
      <c r="B76" s="1" t="s">
        <v>116</v>
      </c>
      <c r="C76" s="9">
        <f>IF(COUNTIF(RawData!$D:$D,$A76) &gt; 0, (SUMIF(RawData!$D:$D,$A76,RawData!$L:$L)/COUNTIF(RawData!$D:$D,$A76))/3,"")</f>
        <v>0.04710144928</v>
      </c>
      <c r="D76" s="9">
        <f>IF(COUNTIF(RawData!$D:$D,$A76) &gt; 0, (SUMIF(RawData!$D:$D,$A76,RawData!$K:$K)/COUNTIF(RawData!$D:$D,$A76))/3,"")</f>
        <v>0.04710144928</v>
      </c>
      <c r="E76" s="9">
        <f>IF(COUNTIF(RawData!$D:$D,$A76) &gt; 0, (SUMIF(RawData!$D:$D,$A76,RawData!$J:$J)/COUNTIF(RawData!$D:$D,$A76))/6,"")</f>
        <v>0.7753623188</v>
      </c>
      <c r="F76" s="9">
        <f>IF(COUNTIF(RawData!$D:$D,$A76) &gt; 0, (SUMIF(RawData!$D:$D,$A76,RawData!$G:$G)/COUNTIF(RawData!$D:$D,$A76))/6,"")</f>
        <v>0.2626811594</v>
      </c>
      <c r="G76" s="9">
        <f>IF(COUNTIF(RawData!$D:$D,$A76) &gt; 0, (SUMIF(RawData!$D:$D,$A76,RawData!$F:$F)/COUNTIF(RawData!$D:$D,$A76))/6,"")</f>
        <v>0.2934782609</v>
      </c>
      <c r="H76" s="9">
        <f>IF(COUNTIF(RawData!$D:$D,$A76) &gt; 0, (SUMIF(RawData!$D:$D,$A76,RawData!$H:$H)/COUNTIF(RawData!$D:$D,$A76))/6,"")</f>
        <v>0.3369565217</v>
      </c>
      <c r="I76" s="9">
        <f>IF(COUNTIF(RawData!$D:$D,$A76) &gt; 0, (COUNTIFS(RawData!$D:$D,$A76,RawData!L:L,0)/COUNTIF(RawData!$D:$D,$A76)),"")</f>
        <v>0.2717391304</v>
      </c>
    </row>
    <row r="77">
      <c r="A77" s="1">
        <v>1.0</v>
      </c>
      <c r="B77" s="1" t="s">
        <v>147</v>
      </c>
      <c r="C77" s="9">
        <f>IF(COUNTIF(RawData!$D:$D,$A77) &gt; 0, (SUMIF(RawData!$D:$D,$A77,RawData!$L:$L)/COUNTIF(RawData!$D:$D,$A77))/3,"")</f>
        <v>-0.01052631579</v>
      </c>
      <c r="D77" s="9">
        <f>IF(COUNTIF(RawData!$D:$D,$A77) &gt; 0, (SUMIF(RawData!$D:$D,$A77,RawData!$K:$K)/COUNTIF(RawData!$D:$D,$A77))/3,"")</f>
        <v>0.1438596491</v>
      </c>
      <c r="E77" s="9">
        <f>IF(COUNTIF(RawData!$D:$D,$A77) &gt; 0, (SUMIF(RawData!$D:$D,$A77,RawData!$J:$J)/COUNTIF(RawData!$D:$D,$A77))/6,"")</f>
        <v>0.7789473684</v>
      </c>
      <c r="F77" s="9">
        <f>IF(COUNTIF(RawData!$D:$D,$A77) &gt; 0, (SUMIF(RawData!$D:$D,$A77,RawData!$G:$G)/COUNTIF(RawData!$D:$D,$A77))/6,"")</f>
        <v>0.2894736842</v>
      </c>
      <c r="G77" s="9">
        <f>IF(COUNTIF(RawData!$D:$D,$A77) &gt; 0, (SUMIF(RawData!$D:$D,$A77,RawData!$F:$F)/COUNTIF(RawData!$D:$D,$A77))/6,"")</f>
        <v>0.2631578947</v>
      </c>
      <c r="H77" s="9">
        <f>IF(COUNTIF(RawData!$D:$D,$A77) &gt; 0, (SUMIF(RawData!$D:$D,$A77,RawData!$H:$H)/COUNTIF(RawData!$D:$D,$A77))/6,"")</f>
        <v>0.3631578947</v>
      </c>
      <c r="I77" s="9">
        <f>IF(COUNTIF(RawData!$D:$D,$A77) &gt; 0, (COUNTIFS(RawData!$D:$D,$A77,RawData!L:L,0)/COUNTIF(RawData!$D:$D,$A77)),"")</f>
        <v>0.2315789474</v>
      </c>
    </row>
    <row r="78">
      <c r="A78" s="1">
        <v>2.0</v>
      </c>
      <c r="B78" s="1" t="s">
        <v>163</v>
      </c>
      <c r="C78" s="9">
        <f>IF(COUNTIF(RawData!$D:$D,$A78) &gt; 0, (SUMIF(RawData!$D:$D,$A78,RawData!$L:$L)/COUNTIF(RawData!$D:$D,$A78))/3,"")</f>
        <v>-0.0701754386</v>
      </c>
      <c r="D78" s="9">
        <f>IF(COUNTIF(RawData!$D:$D,$A78) &gt; 0, (SUMIF(RawData!$D:$D,$A78,RawData!$K:$K)/COUNTIF(RawData!$D:$D,$A78))/3,"")</f>
        <v>0.08070175439</v>
      </c>
      <c r="E78" s="9">
        <f>IF(COUNTIF(RawData!$D:$D,$A78) &gt; 0, (SUMIF(RawData!$D:$D,$A78,RawData!$J:$J)/COUNTIF(RawData!$D:$D,$A78))/6,"")</f>
        <v>0.7771929825</v>
      </c>
      <c r="F78" s="9">
        <f>IF(COUNTIF(RawData!$D:$D,$A78) &gt; 0, (SUMIF(RawData!$D:$D,$A78,RawData!$G:$G)/COUNTIF(RawData!$D:$D,$A78))/6,"")</f>
        <v>0.3333333333</v>
      </c>
      <c r="G78" s="9">
        <f>IF(COUNTIF(RawData!$D:$D,$A78) &gt; 0, (SUMIF(RawData!$D:$D,$A78,RawData!$F:$F)/COUNTIF(RawData!$D:$D,$A78))/6,"")</f>
        <v>0.2526315789</v>
      </c>
      <c r="H78" s="9">
        <f>IF(COUNTIF(RawData!$D:$D,$A78) &gt; 0, (SUMIF(RawData!$D:$D,$A78,RawData!$H:$H)/COUNTIF(RawData!$D:$D,$A78))/6,"")</f>
        <v>0.3315789474</v>
      </c>
      <c r="I78" s="9">
        <f>IF(COUNTIF(RawData!$D:$D,$A78) &gt; 0, (COUNTIFS(RawData!$D:$D,$A78,RawData!L:L,0)/COUNTIF(RawData!$D:$D,$A78)),"")</f>
        <v>0.3052631579</v>
      </c>
    </row>
    <row r="79">
      <c r="A79" s="1">
        <v>3.0</v>
      </c>
      <c r="B79" s="1" t="s">
        <v>172</v>
      </c>
      <c r="C79" s="9">
        <f>IF(COUNTIF(RawData!$D:$D,$A79) &gt; 0, (SUMIF(RawData!$D:$D,$A79,RawData!$L:$L)/COUNTIF(RawData!$D:$D,$A79))/3,"")</f>
        <v>-0.09578544061</v>
      </c>
      <c r="D79" s="9">
        <f>IF(COUNTIF(RawData!$D:$D,$A79) &gt; 0, (SUMIF(RawData!$D:$D,$A79,RawData!$K:$K)/COUNTIF(RawData!$D:$D,$A79))/3,"")</f>
        <v>-0.02681992337</v>
      </c>
      <c r="E79" s="9">
        <f>IF(COUNTIF(RawData!$D:$D,$A79) &gt; 0, (SUMIF(RawData!$D:$D,$A79,RawData!$J:$J)/COUNTIF(RawData!$D:$D,$A79))/6,"")</f>
        <v>0.7509578544</v>
      </c>
      <c r="F79" s="9">
        <f>IF(COUNTIF(RawData!$D:$D,$A79) &gt; 0, (SUMIF(RawData!$D:$D,$A79,RawData!$G:$G)/COUNTIF(RawData!$D:$D,$A79))/6,"")</f>
        <v>0.2969348659</v>
      </c>
      <c r="G79" s="9">
        <f>IF(COUNTIF(RawData!$D:$D,$A79) &gt; 0, (SUMIF(RawData!$D:$D,$A79,RawData!$F:$F)/COUNTIF(RawData!$D:$D,$A79))/6,"")</f>
        <v>0.285440613</v>
      </c>
      <c r="H79" s="9">
        <f>IF(COUNTIF(RawData!$D:$D,$A79) &gt; 0, (SUMIF(RawData!$D:$D,$A79,RawData!$H:$H)/COUNTIF(RawData!$D:$D,$A79))/6,"")</f>
        <v>0.3563218391</v>
      </c>
      <c r="I79" s="9">
        <f>IF(COUNTIF(RawData!$D:$D,$A79) &gt; 0, (COUNTIFS(RawData!$D:$D,$A79,RawData!L:L,0)/COUNTIF(RawData!$D:$D,$A79)),"")</f>
        <v>0.2413793103</v>
      </c>
    </row>
    <row r="80">
      <c r="A80" s="1">
        <v>4.0</v>
      </c>
      <c r="B80" s="1" t="s">
        <v>185</v>
      </c>
      <c r="C80" s="9">
        <f>IF(COUNTIF(RawData!$D:$D,$A80) &gt; 0, (SUMIF(RawData!$D:$D,$A80,RawData!$L:$L)/COUNTIF(RawData!$D:$D,$A80))/3,"")</f>
        <v>-0.08219178082</v>
      </c>
      <c r="D80" s="9">
        <f>IF(COUNTIF(RawData!$D:$D,$A80) &gt; 0, (SUMIF(RawData!$D:$D,$A80,RawData!$K:$K)/COUNTIF(RawData!$D:$D,$A80))/3,"")</f>
        <v>0.05936073059</v>
      </c>
      <c r="E80" s="9">
        <f>IF(COUNTIF(RawData!$D:$D,$A80) &gt; 0, (SUMIF(RawData!$D:$D,$A80,RawData!$J:$J)/COUNTIF(RawData!$D:$D,$A80))/6,"")</f>
        <v>0.7922374429</v>
      </c>
      <c r="F80" s="9">
        <f>IF(COUNTIF(RawData!$D:$D,$A80) &gt; 0, (SUMIF(RawData!$D:$D,$A80,RawData!$G:$G)/COUNTIF(RawData!$D:$D,$A80))/6,"")</f>
        <v>0.2945205479</v>
      </c>
      <c r="G80" s="9">
        <f>IF(COUNTIF(RawData!$D:$D,$A80) &gt; 0, (SUMIF(RawData!$D:$D,$A80,RawData!$F:$F)/COUNTIF(RawData!$D:$D,$A80))/6,"")</f>
        <v>0.2762557078</v>
      </c>
      <c r="H80" s="9">
        <f>IF(COUNTIF(RawData!$D:$D,$A80) &gt; 0, (SUMIF(RawData!$D:$D,$A80,RawData!$H:$H)/COUNTIF(RawData!$D:$D,$A80))/6,"")</f>
        <v>0.3789954338</v>
      </c>
      <c r="I80" s="9">
        <f>IF(COUNTIF(RawData!$D:$D,$A80) &gt; 0, (COUNTIFS(RawData!$D:$D,$A80,RawData!L:L,0)/COUNTIF(RawData!$D:$D,$A80)),"")</f>
        <v>0.1780821918</v>
      </c>
    </row>
    <row r="81">
      <c r="A81" s="1">
        <v>5.0</v>
      </c>
      <c r="B81" s="1" t="s">
        <v>197</v>
      </c>
      <c r="C81" s="9">
        <f>IF(COUNTIF(RawData!$D:$D,$A81) &gt; 0, (SUMIF(RawData!$D:$D,$A81,RawData!$L:$L)/COUNTIF(RawData!$D:$D,$A81))/3,"")</f>
        <v>0.02259887006</v>
      </c>
      <c r="D81" s="9">
        <f>IF(COUNTIF(RawData!$D:$D,$A81) &gt; 0, (SUMIF(RawData!$D:$D,$A81,RawData!$K:$K)/COUNTIF(RawData!$D:$D,$A81))/3,"")</f>
        <v>0.04519774011</v>
      </c>
      <c r="E81" s="9">
        <f>IF(COUNTIF(RawData!$D:$D,$A81) &gt; 0, (SUMIF(RawData!$D:$D,$A81,RawData!$J:$J)/COUNTIF(RawData!$D:$D,$A81))/6,"")</f>
        <v>0.8305084746</v>
      </c>
      <c r="F81" s="9">
        <f>IF(COUNTIF(RawData!$D:$D,$A81) &gt; 0, (SUMIF(RawData!$D:$D,$A81,RawData!$G:$G)/COUNTIF(RawData!$D:$D,$A81))/6,"")</f>
        <v>0.3192090395</v>
      </c>
      <c r="G81" s="9">
        <f>IF(COUNTIF(RawData!$D:$D,$A81) &gt; 0, (SUMIF(RawData!$D:$D,$A81,RawData!$F:$F)/COUNTIF(RawData!$D:$D,$A81))/6,"")</f>
        <v>0.2542372881</v>
      </c>
      <c r="H81" s="9">
        <f>IF(COUNTIF(RawData!$D:$D,$A81) &gt; 0, (SUMIF(RawData!$D:$D,$A81,RawData!$H:$H)/COUNTIF(RawData!$D:$D,$A81))/6,"")</f>
        <v>0.3870056497</v>
      </c>
      <c r="I81" s="9">
        <f>IF(COUNTIF(RawData!$D:$D,$A81) &gt; 0, (COUNTIFS(RawData!$D:$D,$A81,RawData!L:L,0)/COUNTIF(RawData!$D:$D,$A81)),"")</f>
        <v>0.186440678</v>
      </c>
    </row>
    <row r="82">
      <c r="A82" s="1">
        <v>6.0</v>
      </c>
      <c r="B82" s="1" t="s">
        <v>212</v>
      </c>
      <c r="C82" s="9">
        <f>IF(COUNTIF(RawData!$D:$D,$A82) &gt; 0, (SUMIF(RawData!$D:$D,$A82,RawData!$L:$L)/COUNTIF(RawData!$D:$D,$A82))/3,"")</f>
        <v>-0.0790960452</v>
      </c>
      <c r="D82" s="9">
        <f>IF(COUNTIF(RawData!$D:$D,$A82) &gt; 0, (SUMIF(RawData!$D:$D,$A82,RawData!$K:$K)/COUNTIF(RawData!$D:$D,$A82))/3,"")</f>
        <v>0.05084745763</v>
      </c>
      <c r="E82" s="9">
        <f>IF(COUNTIF(RawData!$D:$D,$A82) &gt; 0, (SUMIF(RawData!$D:$D,$A82,RawData!$J:$J)/COUNTIF(RawData!$D:$D,$A82))/6,"")</f>
        <v>0.7796610169</v>
      </c>
      <c r="F82" s="9">
        <f>IF(COUNTIF(RawData!$D:$D,$A82) &gt; 0, (SUMIF(RawData!$D:$D,$A82,RawData!$G:$G)/COUNTIF(RawData!$D:$D,$A82))/6,"")</f>
        <v>0.3220338983</v>
      </c>
      <c r="G82" s="9">
        <f>IF(COUNTIF(RawData!$D:$D,$A82) &gt; 0, (SUMIF(RawData!$D:$D,$A82,RawData!$F:$F)/COUNTIF(RawData!$D:$D,$A82))/6,"")</f>
        <v>0.2881355932</v>
      </c>
      <c r="H82" s="9">
        <f>IF(COUNTIF(RawData!$D:$D,$A82) &gt; 0, (SUMIF(RawData!$D:$D,$A82,RawData!$H:$H)/COUNTIF(RawData!$D:$D,$A82))/6,"")</f>
        <v>0.3305084746</v>
      </c>
      <c r="I82" s="9">
        <f>IF(COUNTIF(RawData!$D:$D,$A82) &gt; 0, (COUNTIFS(RawData!$D:$D,$A82,RawData!L:L,0)/COUNTIF(RawData!$D:$D,$A82)),"")</f>
        <v>0.2203389831</v>
      </c>
    </row>
    <row r="83">
      <c r="A83" s="1">
        <v>7.0</v>
      </c>
      <c r="B83" s="1" t="s">
        <v>231</v>
      </c>
      <c r="C83" s="9">
        <f>IF(COUNTIF(RawData!$D:$D,$A83) &gt; 0, (SUMIF(RawData!$D:$D,$A83,RawData!$L:$L)/COUNTIF(RawData!$D:$D,$A83))/3,"")</f>
        <v>-0.05376344086</v>
      </c>
      <c r="D83" s="9">
        <f>IF(COUNTIF(RawData!$D:$D,$A83) &gt; 0, (SUMIF(RawData!$D:$D,$A83,RawData!$K:$K)/COUNTIF(RawData!$D:$D,$A83))/3,"")</f>
        <v>0.01075268817</v>
      </c>
      <c r="E83" s="9">
        <f>IF(COUNTIF(RawData!$D:$D,$A83) &gt; 0, (SUMIF(RawData!$D:$D,$A83,RawData!$J:$J)/COUNTIF(RawData!$D:$D,$A83))/6,"")</f>
        <v>0.7634408602</v>
      </c>
      <c r="F83" s="9">
        <f>IF(COUNTIF(RawData!$D:$D,$A83) &gt; 0, (SUMIF(RawData!$D:$D,$A83,RawData!$G:$G)/COUNTIF(RawData!$D:$D,$A83))/6,"")</f>
        <v>0.2688172043</v>
      </c>
      <c r="G83" s="9">
        <f>IF(COUNTIF(RawData!$D:$D,$A83) &gt; 0, (SUMIF(RawData!$D:$D,$A83,RawData!$F:$F)/COUNTIF(RawData!$D:$D,$A83))/6,"")</f>
        <v>0.2768817204</v>
      </c>
      <c r="H83" s="9">
        <f>IF(COUNTIF(RawData!$D:$D,$A83) &gt; 0, (SUMIF(RawData!$D:$D,$A83,RawData!$H:$H)/COUNTIF(RawData!$D:$D,$A83))/6,"")</f>
        <v>0.3629032258</v>
      </c>
      <c r="I83" s="9">
        <f>IF(COUNTIF(RawData!$D:$D,$A83) &gt; 0, (COUNTIFS(RawData!$D:$D,$A83,RawData!L:L,0)/COUNTIF(RawData!$D:$D,$A83)),"")</f>
        <v>0.2580645161</v>
      </c>
    </row>
    <row r="84">
      <c r="A84" s="1">
        <v>8.0</v>
      </c>
      <c r="B84" s="1" t="s">
        <v>250</v>
      </c>
      <c r="C84" s="9">
        <f>IF(COUNTIF(RawData!$D:$D,$A84) &gt; 0, (SUMIF(RawData!$D:$D,$A84,RawData!$L:$L)/COUNTIF(RawData!$D:$D,$A84))/3,"")</f>
        <v>0.1578947368</v>
      </c>
      <c r="D84" s="9">
        <f>IF(COUNTIF(RawData!$D:$D,$A84) &gt; 0, (SUMIF(RawData!$D:$D,$A84,RawData!$K:$K)/COUNTIF(RawData!$D:$D,$A84))/3,"")</f>
        <v>0</v>
      </c>
      <c r="E84" s="9">
        <f>IF(COUNTIF(RawData!$D:$D,$A84) &gt; 0, (SUMIF(RawData!$D:$D,$A84,RawData!$J:$J)/COUNTIF(RawData!$D:$D,$A84))/6,"")</f>
        <v>0.7105263158</v>
      </c>
      <c r="F84" s="9">
        <f>IF(COUNTIF(RawData!$D:$D,$A84) &gt; 0, (SUMIF(RawData!$D:$D,$A84,RawData!$G:$G)/COUNTIF(RawData!$D:$D,$A84))/6,"")</f>
        <v>0.298245614</v>
      </c>
      <c r="G84" s="9">
        <f>IF(COUNTIF(RawData!$D:$D,$A84) &gt; 0, (SUMIF(RawData!$D:$D,$A84,RawData!$F:$F)/COUNTIF(RawData!$D:$D,$A84))/6,"")</f>
        <v>0.2894736842</v>
      </c>
      <c r="H84" s="9">
        <f>IF(COUNTIF(RawData!$D:$D,$A84) &gt; 0, (SUMIF(RawData!$D:$D,$A84,RawData!$H:$H)/COUNTIF(RawData!$D:$D,$A84))/6,"")</f>
        <v>0.350877193</v>
      </c>
      <c r="I84" s="9">
        <f>IF(COUNTIF(RawData!$D:$D,$A84) &gt; 0, (COUNTIFS(RawData!$D:$D,$A84,RawData!L:L,0)/COUNTIF(RawData!$D:$D,$A84)),"")</f>
        <v>0.2631578947</v>
      </c>
    </row>
    <row r="85">
      <c r="A85" s="1">
        <v>9.0</v>
      </c>
      <c r="B85" s="1" t="s">
        <v>264</v>
      </c>
      <c r="C85" s="9" t="str">
        <f>IF(COUNTIF(RawData!$D:$D,$A85) &gt; 0, (SUMIF(RawData!$D:$D,$A85,RawData!$L:$L)/COUNTIF(RawData!$D:$D,$A85))/3,"")</f>
        <v/>
      </c>
      <c r="D85" s="9" t="str">
        <f>IF(COUNTIF(RawData!$D:$D,$A85) &gt; 0, (SUMIF(RawData!$D:$D,$A85,RawData!$K:$K)/COUNTIF(RawData!$D:$D,$A85))/3,"")</f>
        <v/>
      </c>
      <c r="E85" s="9" t="str">
        <f>IF(COUNTIF(RawData!$D:$D,$A85) &gt; 0, (SUMIF(RawData!$D:$D,$A85,RawData!$J:$J)/COUNTIF(RawData!$D:$D,$A85))/6,"")</f>
        <v/>
      </c>
      <c r="F85" s="9" t="str">
        <f>IF(COUNTIF(RawData!$D:$D,$A85) &gt; 0, (SUMIF(RawData!$D:$D,$A85,RawData!$G:$G)/COUNTIF(RawData!$D:$D,$A85))/6,"")</f>
        <v/>
      </c>
      <c r="G85" s="9" t="str">
        <f>IF(COUNTIF(RawData!$D:$D,$A85) &gt; 0, (SUMIF(RawData!$D:$D,$A85,RawData!$F:$F)/COUNTIF(RawData!$D:$D,$A85))/6,"")</f>
        <v/>
      </c>
      <c r="H85" s="9" t="str">
        <f>IF(COUNTIF(RawData!$D:$D,$A85) &gt; 0, (SUMIF(RawData!$D:$D,$A85,RawData!$H:$H)/COUNTIF(RawData!$D:$D,$A85))/6,"")</f>
        <v/>
      </c>
      <c r="I85" s="9" t="str">
        <f>IF(COUNTIF(RawData!$D:$D,$A85) &gt; 0, (COUNTIFS(RawData!$D:$D,$A85,RawData!L:L,0)/COUNTIF(RawData!$D:$D,$A85)),"")</f>
        <v/>
      </c>
    </row>
    <row r="86">
      <c r="A86" s="1">
        <v>10.0</v>
      </c>
      <c r="B86" s="1" t="s">
        <v>272</v>
      </c>
      <c r="C86" s="9" t="str">
        <f>IF(COUNTIF(RawData!$D:$D,$A86) &gt; 0, (SUMIF(RawData!$D:$D,$A86,RawData!$L:$L)/COUNTIF(RawData!$D:$D,$A86))/3,"")</f>
        <v/>
      </c>
      <c r="D86" s="9" t="str">
        <f>IF(COUNTIF(RawData!$D:$D,$A86) &gt; 0, (SUMIF(RawData!$D:$D,$A86,RawData!$K:$K)/COUNTIF(RawData!$D:$D,$A86))/3,"")</f>
        <v/>
      </c>
      <c r="E86" s="9" t="str">
        <f>IF(COUNTIF(RawData!$D:$D,$A86) &gt; 0, (SUMIF(RawData!$D:$D,$A86,RawData!$J:$J)/COUNTIF(RawData!$D:$D,$A86))/6,"")</f>
        <v/>
      </c>
      <c r="F86" s="9" t="str">
        <f>IF(COUNTIF(RawData!$D:$D,$A86) &gt; 0, (SUMIF(RawData!$D:$D,$A86,RawData!$G:$G)/COUNTIF(RawData!$D:$D,$A86))/6,"")</f>
        <v/>
      </c>
      <c r="G86" s="9" t="str">
        <f>IF(COUNTIF(RawData!$D:$D,$A86) &gt; 0, (SUMIF(RawData!$D:$D,$A86,RawData!$F:$F)/COUNTIF(RawData!$D:$D,$A86))/6,"")</f>
        <v/>
      </c>
      <c r="H86" s="9" t="str">
        <f>IF(COUNTIF(RawData!$D:$D,$A86) &gt; 0, (SUMIF(RawData!$D:$D,$A86,RawData!$H:$H)/COUNTIF(RawData!$D:$D,$A86))/6,"")</f>
        <v/>
      </c>
      <c r="I86" s="9" t="str">
        <f>IF(COUNTIF(RawData!$D:$D,$A86) &gt; 0, (COUNTIFS(RawData!$D:$D,$A86,RawData!L:L,0)/COUNTIF(RawData!$D:$D,$A86)),"")</f>
        <v/>
      </c>
    </row>
    <row r="87">
      <c r="A87" s="1">
        <v>11.0</v>
      </c>
      <c r="B87" s="1" t="s">
        <v>287</v>
      </c>
      <c r="C87" s="9" t="str">
        <f>IF(COUNTIF(RawData!$D:$D,$A87) &gt; 0, (SUMIF(RawData!$D:$D,$A87,RawData!$L:$L)/COUNTIF(RawData!$D:$D,$A87))/3,"")</f>
        <v/>
      </c>
      <c r="D87" s="9" t="str">
        <f>IF(COUNTIF(RawData!$D:$D,$A87) &gt; 0, (SUMIF(RawData!$D:$D,$A87,RawData!$K:$K)/COUNTIF(RawData!$D:$D,$A87))/3,"")</f>
        <v/>
      </c>
      <c r="E87" s="9" t="str">
        <f>IF(COUNTIF(RawData!$D:$D,$A87) &gt; 0, (SUMIF(RawData!$D:$D,$A87,RawData!$J:$J)/COUNTIF(RawData!$D:$D,$A87))/6,"")</f>
        <v/>
      </c>
      <c r="F87" s="9" t="str">
        <f>IF(COUNTIF(RawData!$D:$D,$A87) &gt; 0, (SUMIF(RawData!$D:$D,$A87,RawData!$G:$G)/COUNTIF(RawData!$D:$D,$A87))/6,"")</f>
        <v/>
      </c>
      <c r="G87" s="9" t="str">
        <f>IF(COUNTIF(RawData!$D:$D,$A87) &gt; 0, (SUMIF(RawData!$D:$D,$A87,RawData!$F:$F)/COUNTIF(RawData!$D:$D,$A87))/6,"")</f>
        <v/>
      </c>
      <c r="H87" s="9" t="str">
        <f>IF(COUNTIF(RawData!$D:$D,$A87) &gt; 0, (SUMIF(RawData!$D:$D,$A87,RawData!$H:$H)/COUNTIF(RawData!$D:$D,$A87))/6,"")</f>
        <v/>
      </c>
      <c r="I87" s="9" t="str">
        <f>IF(COUNTIF(RawData!$D:$D,$A87) &gt; 0, (COUNTIFS(RawData!$D:$D,$A87,RawData!L:L,0)/COUNTIF(RawData!$D:$D,$A87)),"")</f>
        <v/>
      </c>
    </row>
    <row r="88">
      <c r="A88" s="1">
        <v>12.0</v>
      </c>
      <c r="B88" s="1" t="s">
        <v>304</v>
      </c>
      <c r="C88" s="9" t="str">
        <f>IF(COUNTIF(RawData!$D:$D,$A88) &gt; 0, (SUMIF(RawData!$D:$D,$A88,RawData!$L:$L)/COUNTIF(RawData!$D:$D,$A88))/3,"")</f>
        <v/>
      </c>
      <c r="D88" s="9" t="str">
        <f>IF(COUNTIF(RawData!$D:$D,$A88) &gt; 0, (SUMIF(RawData!$D:$D,$A88,RawData!$K:$K)/COUNTIF(RawData!$D:$D,$A88))/3,"")</f>
        <v/>
      </c>
      <c r="E88" s="9" t="str">
        <f>IF(COUNTIF(RawData!$D:$D,$A88) &gt; 0, (SUMIF(RawData!$D:$D,$A88,RawData!$J:$J)/COUNTIF(RawData!$D:$D,$A88))/6,"")</f>
        <v/>
      </c>
      <c r="F88" s="9" t="str">
        <f>IF(COUNTIF(RawData!$D:$D,$A88) &gt; 0, (SUMIF(RawData!$D:$D,$A88,RawData!$G:$G)/COUNTIF(RawData!$D:$D,$A88))/6,"")</f>
        <v/>
      </c>
      <c r="G88" s="9" t="str">
        <f>IF(COUNTIF(RawData!$D:$D,$A88) &gt; 0, (SUMIF(RawData!$D:$D,$A88,RawData!$F:$F)/COUNTIF(RawData!$D:$D,$A88))/6,"")</f>
        <v/>
      </c>
      <c r="H88" s="9" t="str">
        <f>IF(COUNTIF(RawData!$D:$D,$A88) &gt; 0, (SUMIF(RawData!$D:$D,$A88,RawData!$H:$H)/COUNTIF(RawData!$D:$D,$A88))/6,"")</f>
        <v/>
      </c>
      <c r="I88" s="9" t="str">
        <f>IF(COUNTIF(RawData!$D:$D,$A88) &gt; 0, (COUNTIFS(RawData!$D:$D,$A88,RawData!L:L,0)/COUNTIF(RawData!$D:$D,$A88)),"")</f>
        <v/>
      </c>
    </row>
    <row r="97">
      <c r="A97" s="5"/>
      <c r="B97" s="5"/>
      <c r="C97" s="6" t="s">
        <v>113</v>
      </c>
      <c r="D97" s="6" t="s">
        <v>115</v>
      </c>
      <c r="E97" s="6" t="s">
        <v>1273</v>
      </c>
      <c r="F97" s="6" t="s">
        <v>1274</v>
      </c>
      <c r="G97" s="6" t="s">
        <v>1275</v>
      </c>
    </row>
    <row r="98">
      <c r="A98" s="1">
        <v>0.0</v>
      </c>
      <c r="B98" s="1" t="s">
        <v>116</v>
      </c>
      <c r="C98" s="9">
        <f>IF(COUNTIF(RawData!$D:$D,$A98) &gt; 0, (SUMIF(RawData!$D:$D,$A98,RawData!$U:$U)/COUNTIF(RawData!$D:$D,$A98))/8,"")</f>
        <v>0.4714673913</v>
      </c>
      <c r="D98" s="9">
        <f>IF(COUNTIF(RawData!$D:$D,$A98) &gt; 0, (SUMIF(RawData!$D:$D,$A98,RawData!$V:$V)/COUNTIF(RawData!$D:$D,$A98))/8,"")</f>
        <v>0.6182065217</v>
      </c>
      <c r="E98" s="9">
        <f>IF(COUNTIF(RawData!$D:$D,$A98) &gt; 0, (COUNTIFS(RawData!$D:$D,$A98,RawData!$W:$W,"&lt;=4")/COUNTIF(RawData!$D:$D,$A98)),"")</f>
        <v>0.2717391304</v>
      </c>
      <c r="F98" s="9">
        <f>IF(COUNTIF(RawData!$D:$D,$A98) &gt; 0, (COUNTIFS(RawData!$D:$D,$A98,RawData!$W:$W,"&lt;9",RawData!$W:$W,"&gt;4")/COUNTIF(RawData!$D:$D,$A98)),"")</f>
        <v>0.4456521739</v>
      </c>
      <c r="G98" s="9">
        <f>IF(COUNTIF(RawData!$D:$D,$A98) &gt; 0, (COUNTIFS(RawData!$D:$D,$A98,RawData!$W:$W,"&gt;=9")/COUNTIF(RawData!$D:$D,$A98)),"")</f>
        <v>0.2826086957</v>
      </c>
    </row>
    <row r="99">
      <c r="A99" s="1">
        <v>1.0</v>
      </c>
      <c r="B99" s="1" t="s">
        <v>147</v>
      </c>
      <c r="C99" s="9">
        <f>IF(COUNTIF(RawData!$D:$D,$A99) &gt; 0, (SUMIF(RawData!$D:$D,$A99,RawData!$U:$U)/COUNTIF(RawData!$D:$D,$A99))/8,"")</f>
        <v>0.4644736842</v>
      </c>
      <c r="D99" s="9">
        <f>IF(COUNTIF(RawData!$D:$D,$A99) &gt; 0, (SUMIF(RawData!$D:$D,$A99,RawData!$V:$V)/COUNTIF(RawData!$D:$D,$A99))/8,"")</f>
        <v>0.6197368421</v>
      </c>
      <c r="E99" s="9">
        <f>IF(COUNTIF(RawData!$D:$D,$A99) &gt; 0, (COUNTIFS(RawData!$D:$D,$A99,RawData!$W:$W,"&lt;=4")/COUNTIF(RawData!$D:$D,$A99)),"")</f>
        <v>0.2315789474</v>
      </c>
      <c r="F99" s="9">
        <f>IF(COUNTIF(RawData!$D:$D,$A99) &gt; 0, (COUNTIFS(RawData!$D:$D,$A99,RawData!$W:$W,"&lt;9",RawData!$W:$W,"&gt;4")/COUNTIF(RawData!$D:$D,$A99)),"")</f>
        <v>0.5368421053</v>
      </c>
      <c r="G99" s="9">
        <f>IF(COUNTIF(RawData!$D:$D,$A99) &gt; 0, (COUNTIFS(RawData!$D:$D,$A99,RawData!$W:$W,"&gt;=9")/COUNTIF(RawData!$D:$D,$A99)),"")</f>
        <v>0.2315789474</v>
      </c>
    </row>
    <row r="100">
      <c r="A100" s="1">
        <v>2.0</v>
      </c>
      <c r="B100" s="1" t="s">
        <v>163</v>
      </c>
      <c r="C100" s="9">
        <f>IF(COUNTIF(RawData!$D:$D,$A100) &gt; 0, (SUMIF(RawData!$D:$D,$A100,RawData!$U:$U)/COUNTIF(RawData!$D:$D,$A100))/8,"")</f>
        <v>0.4026315789</v>
      </c>
      <c r="D100" s="9">
        <f>IF(COUNTIF(RawData!$D:$D,$A100) &gt; 0, (SUMIF(RawData!$D:$D,$A100,RawData!$V:$V)/COUNTIF(RawData!$D:$D,$A100))/8,"")</f>
        <v>0.6394736842</v>
      </c>
      <c r="E100" s="9">
        <f>IF(COUNTIF(RawData!$D:$D,$A100) &gt; 0, (COUNTIFS(RawData!$D:$D,$A100,RawData!$W:$W,"&lt;=4")/COUNTIF(RawData!$D:$D,$A100)),"")</f>
        <v>0.2736842105</v>
      </c>
      <c r="F100" s="9">
        <f>IF(COUNTIF(RawData!$D:$D,$A100) &gt; 0, (COUNTIFS(RawData!$D:$D,$A100,RawData!$W:$W,"&lt;9",RawData!$W:$W,"&gt;4")/COUNTIF(RawData!$D:$D,$A100)),"")</f>
        <v>0.5684210526</v>
      </c>
      <c r="G100" s="9">
        <f>IF(COUNTIF(RawData!$D:$D,$A100) &gt; 0, (COUNTIFS(RawData!$D:$D,$A100,RawData!$W:$W,"&gt;=9")/COUNTIF(RawData!$D:$D,$A100)),"")</f>
        <v>0.1578947368</v>
      </c>
    </row>
    <row r="101">
      <c r="A101" s="1">
        <v>3.0</v>
      </c>
      <c r="B101" s="1" t="s">
        <v>172</v>
      </c>
      <c r="C101" s="9">
        <f>IF(COUNTIF(RawData!$D:$D,$A101) &gt; 0, (SUMIF(RawData!$D:$D,$A101,RawData!$U:$U)/COUNTIF(RawData!$D:$D,$A101))/8,"")</f>
        <v>0.408045977</v>
      </c>
      <c r="D101" s="9">
        <f>IF(COUNTIF(RawData!$D:$D,$A101) &gt; 0, (SUMIF(RawData!$D:$D,$A101,RawData!$V:$V)/COUNTIF(RawData!$D:$D,$A101))/8,"")</f>
        <v>0.6393678161</v>
      </c>
      <c r="E101" s="9">
        <f>IF(COUNTIF(RawData!$D:$D,$A101) &gt; 0, (COUNTIFS(RawData!$D:$D,$A101,RawData!$W:$W,"&lt;=4")/COUNTIF(RawData!$D:$D,$A101)),"")</f>
        <v>0.3103448276</v>
      </c>
      <c r="F101" s="9">
        <f>IF(COUNTIF(RawData!$D:$D,$A101) &gt; 0, (COUNTIFS(RawData!$D:$D,$A101,RawData!$W:$W,"&lt;9",RawData!$W:$W,"&gt;4")/COUNTIF(RawData!$D:$D,$A101)),"")</f>
        <v>0.5287356322</v>
      </c>
      <c r="G101" s="9">
        <f>IF(COUNTIF(RawData!$D:$D,$A101) &gt; 0, (COUNTIFS(RawData!$D:$D,$A101,RawData!$W:$W,"&gt;=9")/COUNTIF(RawData!$D:$D,$A101)),"")</f>
        <v>0.1609195402</v>
      </c>
    </row>
    <row r="102">
      <c r="A102" s="1">
        <v>4.0</v>
      </c>
      <c r="B102" s="1" t="s">
        <v>185</v>
      </c>
      <c r="C102" s="9">
        <f>IF(COUNTIF(RawData!$D:$D,$A102) &gt; 0, (SUMIF(RawData!$D:$D,$A102,RawData!$U:$U)/COUNTIF(RawData!$D:$D,$A102))/8,"")</f>
        <v>0.3886986301</v>
      </c>
      <c r="D102" s="9">
        <f>IF(COUNTIF(RawData!$D:$D,$A102) &gt; 0, (SUMIF(RawData!$D:$D,$A102,RawData!$V:$V)/COUNTIF(RawData!$D:$D,$A102))/8,"")</f>
        <v>0.654109589</v>
      </c>
      <c r="E102" s="9">
        <f>IF(COUNTIF(RawData!$D:$D,$A102) &gt; 0, (COUNTIFS(RawData!$D:$D,$A102,RawData!$W:$W,"&lt;=4")/COUNTIF(RawData!$D:$D,$A102)),"")</f>
        <v>0.2739726027</v>
      </c>
      <c r="F102" s="9">
        <f>IF(COUNTIF(RawData!$D:$D,$A102) &gt; 0, (COUNTIFS(RawData!$D:$D,$A102,RawData!$W:$W,"&lt;9",RawData!$W:$W,"&gt;4")/COUNTIF(RawData!$D:$D,$A102)),"")</f>
        <v>0.5890410959</v>
      </c>
      <c r="G102" s="9">
        <f>IF(COUNTIF(RawData!$D:$D,$A102) &gt; 0, (COUNTIFS(RawData!$D:$D,$A102,RawData!$W:$W,"&gt;=9")/COUNTIF(RawData!$D:$D,$A102)),"")</f>
        <v>0.1369863014</v>
      </c>
    </row>
    <row r="103">
      <c r="A103" s="1">
        <v>5.0</v>
      </c>
      <c r="B103" s="1" t="s">
        <v>197</v>
      </c>
      <c r="C103" s="9">
        <f>IF(COUNTIF(RawData!$D:$D,$A103) &gt; 0, (SUMIF(RawData!$D:$D,$A103,RawData!$U:$U)/COUNTIF(RawData!$D:$D,$A103))/8,"")</f>
        <v>0.3940677966</v>
      </c>
      <c r="D103" s="9">
        <f>IF(COUNTIF(RawData!$D:$D,$A103) &gt; 0, (SUMIF(RawData!$D:$D,$A103,RawData!$V:$V)/COUNTIF(RawData!$D:$D,$A103))/8,"")</f>
        <v>0.6228813559</v>
      </c>
      <c r="E103" s="9">
        <f>IF(COUNTIF(RawData!$D:$D,$A103) &gt; 0, (COUNTIFS(RawData!$D:$D,$A103,RawData!$W:$W,"&lt;=4")/COUNTIF(RawData!$D:$D,$A103)),"")</f>
        <v>0.2372881356</v>
      </c>
      <c r="F103" s="9">
        <f>IF(COUNTIF(RawData!$D:$D,$A103) &gt; 0, (COUNTIFS(RawData!$D:$D,$A103,RawData!$W:$W,"&lt;9",RawData!$W:$W,"&gt;4")/COUNTIF(RawData!$D:$D,$A103)),"")</f>
        <v>0.6271186441</v>
      </c>
      <c r="G103" s="9">
        <f>IF(COUNTIF(RawData!$D:$D,$A103) &gt; 0, (COUNTIFS(RawData!$D:$D,$A103,RawData!$W:$W,"&gt;=9")/COUNTIF(RawData!$D:$D,$A103)),"")</f>
        <v>0.1355932203</v>
      </c>
    </row>
    <row r="104">
      <c r="A104" s="1">
        <v>6.0</v>
      </c>
      <c r="B104" s="1" t="s">
        <v>212</v>
      </c>
      <c r="C104" s="9">
        <f>IF(COUNTIF(RawData!$D:$D,$A104) &gt; 0, (SUMIF(RawData!$D:$D,$A104,RawData!$U:$U)/COUNTIF(RawData!$D:$D,$A104))/8,"")</f>
        <v>0.3961864407</v>
      </c>
      <c r="D104" s="9">
        <f>IF(COUNTIF(RawData!$D:$D,$A104) &gt; 0, (SUMIF(RawData!$D:$D,$A104,RawData!$V:$V)/COUNTIF(RawData!$D:$D,$A104))/8,"")</f>
        <v>0.6186440678</v>
      </c>
      <c r="E104" s="9">
        <f>IF(COUNTIF(RawData!$D:$D,$A104) &gt; 0, (COUNTIFS(RawData!$D:$D,$A104,RawData!$W:$W,"&lt;=4")/COUNTIF(RawData!$D:$D,$A104)),"")</f>
        <v>0.2372881356</v>
      </c>
      <c r="F104" s="9">
        <f>IF(COUNTIF(RawData!$D:$D,$A104) &gt; 0, (COUNTIFS(RawData!$D:$D,$A104,RawData!$W:$W,"&lt;9",RawData!$W:$W,"&gt;4")/COUNTIF(RawData!$D:$D,$A104)),"")</f>
        <v>0.6271186441</v>
      </c>
      <c r="G104" s="9">
        <f>IF(COUNTIF(RawData!$D:$D,$A104) &gt; 0, (COUNTIFS(RawData!$D:$D,$A104,RawData!$W:$W,"&gt;=9")/COUNTIF(RawData!$D:$D,$A104)),"")</f>
        <v>0.1355932203</v>
      </c>
    </row>
    <row r="105">
      <c r="A105" s="1">
        <v>7.0</v>
      </c>
      <c r="B105" s="1" t="s">
        <v>231</v>
      </c>
      <c r="C105" s="9">
        <f>IF(COUNTIF(RawData!$D:$D,$A105) &gt; 0, (SUMIF(RawData!$D:$D,$A105,RawData!$U:$U)/COUNTIF(RawData!$D:$D,$A105))/8,"")</f>
        <v>0.4032258065</v>
      </c>
      <c r="D105" s="9">
        <f>IF(COUNTIF(RawData!$D:$D,$A105) &gt; 0, (SUMIF(RawData!$D:$D,$A105,RawData!$V:$V)/COUNTIF(RawData!$D:$D,$A105))/8,"")</f>
        <v>0.622983871</v>
      </c>
      <c r="E105" s="9">
        <f>IF(COUNTIF(RawData!$D:$D,$A105) &gt; 0, (COUNTIFS(RawData!$D:$D,$A105,RawData!$W:$W,"&lt;=4")/COUNTIF(RawData!$D:$D,$A105)),"")</f>
        <v>0.3225806452</v>
      </c>
      <c r="F105" s="9">
        <f>IF(COUNTIF(RawData!$D:$D,$A105) &gt; 0, (COUNTIFS(RawData!$D:$D,$A105,RawData!$W:$W,"&lt;9",RawData!$W:$W,"&gt;4")/COUNTIF(RawData!$D:$D,$A105)),"")</f>
        <v>0.4838709677</v>
      </c>
      <c r="G105" s="9">
        <f>IF(COUNTIF(RawData!$D:$D,$A105) &gt; 0, (COUNTIFS(RawData!$D:$D,$A105,RawData!$W:$W,"&gt;=9")/COUNTIF(RawData!$D:$D,$A105)),"")</f>
        <v>0.1935483871</v>
      </c>
    </row>
    <row r="106">
      <c r="A106" s="1">
        <v>8.0</v>
      </c>
      <c r="B106" s="1" t="s">
        <v>250</v>
      </c>
      <c r="C106" s="9">
        <f>IF(COUNTIF(RawData!$D:$D,$A106) &gt; 0, (SUMIF(RawData!$D:$D,$A106,RawData!$U:$U)/COUNTIF(RawData!$D:$D,$A106))/8,"")</f>
        <v>0.4407894737</v>
      </c>
      <c r="D106" s="9">
        <f>IF(COUNTIF(RawData!$D:$D,$A106) &gt; 0, (SUMIF(RawData!$D:$D,$A106,RawData!$V:$V)/COUNTIF(RawData!$D:$D,$A106))/8,"")</f>
        <v>0.5460526316</v>
      </c>
      <c r="E106" s="9">
        <f>IF(COUNTIF(RawData!$D:$D,$A106) &gt; 0, (COUNTIFS(RawData!$D:$D,$A106,RawData!$W:$W,"&lt;=4")/COUNTIF(RawData!$D:$D,$A106)),"")</f>
        <v>0.2105263158</v>
      </c>
      <c r="F106" s="9">
        <f>IF(COUNTIF(RawData!$D:$D,$A106) &gt; 0, (COUNTIFS(RawData!$D:$D,$A106,RawData!$W:$W,"&lt;9",RawData!$W:$W,"&gt;4")/COUNTIF(RawData!$D:$D,$A106)),"")</f>
        <v>0.4210526316</v>
      </c>
      <c r="G106" s="9">
        <f>IF(COUNTIF(RawData!$D:$D,$A106) &gt; 0, (COUNTIFS(RawData!$D:$D,$A106,RawData!$W:$W,"&gt;=9")/COUNTIF(RawData!$D:$D,$A106)),"")</f>
        <v>0.3684210526</v>
      </c>
    </row>
    <row r="107">
      <c r="A107" s="1">
        <v>9.0</v>
      </c>
      <c r="B107" s="1" t="s">
        <v>264</v>
      </c>
      <c r="C107" s="9" t="str">
        <f>IF(COUNTIF(RawData!$D:$D,$A107) &gt; 0, (SUMIF(RawData!$D:$D,$A107,RawData!$U:$U)/COUNTIF(RawData!$D:$D,$A107))/8,"")</f>
        <v/>
      </c>
      <c r="D107" s="9" t="str">
        <f>IF(COUNTIF(RawData!$D:$D,$A107) &gt; 0, (SUMIF(RawData!$D:$D,$A107,RawData!$V:$V)/COUNTIF(RawData!$D:$D,$A107))/8,"")</f>
        <v/>
      </c>
      <c r="E107" s="9" t="str">
        <f>IF(COUNTIF(RawData!$D:$D,$A107) &gt; 0, (COUNTIFS(RawData!$D:$D,$A107,RawData!$W:$W,"&lt;=4")/COUNTIF(RawData!$D:$D,$A107)),"")</f>
        <v/>
      </c>
      <c r="F107" s="9" t="str">
        <f>IF(COUNTIF(RawData!$D:$D,$A107) &gt; 0, (COUNTIFS(RawData!$D:$D,$A107,RawData!$W:$W,"&lt;9",RawData!$W:$W,"&gt;4")/COUNTIF(RawData!$D:$D,$A107)),"")</f>
        <v/>
      </c>
      <c r="G107" s="9" t="str">
        <f>IF(COUNTIF(RawData!$D:$D,$A107) &gt; 0, (COUNTIFS(RawData!$D:$D,$A107,RawData!$W:$W,"&gt;=9")/COUNTIF(RawData!$D:$D,$A107)),"")</f>
        <v/>
      </c>
    </row>
    <row r="108">
      <c r="A108" s="1">
        <v>10.0</v>
      </c>
      <c r="B108" s="1" t="s">
        <v>272</v>
      </c>
      <c r="C108" s="9" t="str">
        <f>IF(COUNTIF(RawData!$D:$D,$A108) &gt; 0, (SUMIF(RawData!$D:$D,$A108,RawData!$U:$U)/COUNTIF(RawData!$D:$D,$A108))/8,"")</f>
        <v/>
      </c>
      <c r="D108" s="9" t="str">
        <f>IF(COUNTIF(RawData!$D:$D,$A108) &gt; 0, (SUMIF(RawData!$D:$D,$A108,RawData!$V:$V)/COUNTIF(RawData!$D:$D,$A108))/8,"")</f>
        <v/>
      </c>
      <c r="E108" s="9" t="str">
        <f>IF(COUNTIF(RawData!$D:$D,$A108) &gt; 0, (COUNTIFS(RawData!$D:$D,$A108,RawData!$W:$W,"&lt;=4")/COUNTIF(RawData!$D:$D,$A108)),"")</f>
        <v/>
      </c>
      <c r="F108" s="9" t="str">
        <f>IF(COUNTIF(RawData!$D:$D,$A108) &gt; 0, (COUNTIFS(RawData!$D:$D,$A108,RawData!$W:$W,"&lt;9",RawData!$W:$W,"&gt;4")/COUNTIF(RawData!$D:$D,$A108)),"")</f>
        <v/>
      </c>
      <c r="G108" s="9" t="str">
        <f>IF(COUNTIF(RawData!$D:$D,$A108) &gt; 0, (COUNTIFS(RawData!$D:$D,$A108,RawData!$W:$W,"&gt;=9")/COUNTIF(RawData!$D:$D,$A108)),"")</f>
        <v/>
      </c>
    </row>
    <row r="109">
      <c r="A109" s="1">
        <v>11.0</v>
      </c>
      <c r="B109" s="1" t="s">
        <v>287</v>
      </c>
      <c r="C109" s="9" t="str">
        <f>IF(COUNTIF(RawData!$D:$D,$A109) &gt; 0, (SUMIF(RawData!$D:$D,$A109,RawData!$U:$U)/COUNTIF(RawData!$D:$D,$A109))/8,"")</f>
        <v/>
      </c>
      <c r="D109" s="9" t="str">
        <f>IF(COUNTIF(RawData!$D:$D,$A109) &gt; 0, (SUMIF(RawData!$D:$D,$A109,RawData!$V:$V)/COUNTIF(RawData!$D:$D,$A109))/8,"")</f>
        <v/>
      </c>
      <c r="E109" s="9" t="str">
        <f>IF(COUNTIF(RawData!$D:$D,$A109) &gt; 0, (COUNTIFS(RawData!$D:$D,$A109,RawData!$W:$W,"&lt;=4")/COUNTIF(RawData!$D:$D,$A109)),"")</f>
        <v/>
      </c>
      <c r="F109" s="9" t="str">
        <f>IF(COUNTIF(RawData!$D:$D,$A109) &gt; 0, (COUNTIFS(RawData!$D:$D,$A109,RawData!$W:$W,"&lt;9",RawData!$W:$W,"&gt;4")/COUNTIF(RawData!$D:$D,$A109)),"")</f>
        <v/>
      </c>
      <c r="G109" s="9" t="str">
        <f>IF(COUNTIF(RawData!$D:$D,$A109) &gt; 0, (COUNTIFS(RawData!$D:$D,$A109,RawData!$W:$W,"&gt;=9")/COUNTIF(RawData!$D:$D,$A109)),"")</f>
        <v/>
      </c>
    </row>
    <row r="110">
      <c r="A110" s="1">
        <v>12.0</v>
      </c>
      <c r="B110" s="1" t="s">
        <v>304</v>
      </c>
      <c r="C110" s="9" t="str">
        <f>IF(COUNTIF(RawData!$D:$D,$A110) &gt; 0, (SUMIF(RawData!$D:$D,$A110,RawData!$U:$U)/COUNTIF(RawData!$D:$D,$A110))/8,"")</f>
        <v/>
      </c>
      <c r="D110" s="9" t="str">
        <f>IF(COUNTIF(RawData!$D:$D,$A110) &gt; 0, (SUMIF(RawData!$D:$D,$A110,RawData!$V:$V)/COUNTIF(RawData!$D:$D,$A110))/8,"")</f>
        <v/>
      </c>
      <c r="E110" s="9" t="str">
        <f>IF(COUNTIF(RawData!$D:$D,$A110) &gt; 0, (COUNTIFS(RawData!$D:$D,$A110,RawData!$W:$W,"&lt;=4")/COUNTIF(RawData!$D:$D,$A110)),"")</f>
        <v/>
      </c>
      <c r="F110" s="9" t="str">
        <f>IF(COUNTIF(RawData!$D:$D,$A110) &gt; 0, (COUNTIFS(RawData!$D:$D,$A110,RawData!$W:$W,"&lt;9",RawData!$W:$W,"&gt;4")/COUNTIF(RawData!$D:$D,$A110)),"")</f>
        <v/>
      </c>
      <c r="G110" s="9" t="str">
        <f>IF(COUNTIF(RawData!$D:$D,$A110) &gt; 0, (COUNTIFS(RawData!$D:$D,$A110,RawData!$W:$W,"&gt;=9")/COUNTIF(RawData!$D:$D,$A110)),"")</f>
        <v/>
      </c>
    </row>
  </sheetData>
  <dataValidations>
    <dataValidation type="list" allowBlank="1" showErrorMessage="1" sqref="B1">
      <formula1>"0,1,2,3,4,5,6,7,8,9,10,11,12"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 t="s">
        <v>109</v>
      </c>
      <c r="B2" s="1" t="s">
        <v>111</v>
      </c>
    </row>
    <row r="3">
      <c r="C3" s="6" t="s">
        <v>113</v>
      </c>
      <c r="D3" s="6" t="s">
        <v>115</v>
      </c>
    </row>
    <row r="4">
      <c r="A4" s="1">
        <v>0.0</v>
      </c>
      <c r="B4" s="1" t="s">
        <v>116</v>
      </c>
      <c r="C4" s="9">
        <f>IF(COUNTIFS(RawData!$D:$D,$A4,RawData!C:C, $B$2) &gt; 0, (SUMIFS(RawData!$U:$U,RawData!$D:$D,$A4,RawData!C:C, $B$2))/(8*COUNTIFS(RawData!$D:$D,$A4,RawData!C:C, $B$2)),"")</f>
        <v>0.625</v>
      </c>
      <c r="D4" s="9">
        <f>IF(COUNTIFS(RawData!$D:$D,$A4,RawData!C:C, $B$2) &gt; 0, (SUMIFS(RawData!$V:$V,RawData!$D:$D,$A4,RawData!C:C, $B$2)/COUNTIFS(RawData!$D:$D,$A4,RawData!C:C, $B$2))/8,"")</f>
        <v>0.5</v>
      </c>
    </row>
    <row r="5">
      <c r="A5" s="1">
        <v>1.0</v>
      </c>
      <c r="B5" s="1" t="s">
        <v>147</v>
      </c>
      <c r="C5" s="9" t="str">
        <f>IF(COUNTIFS(RawData!$D:$D,$A5,RawData!C:C, $B$2) &gt; 0, (SUMIFS(RawData!$U:$U,RawData!$D:$D,$A5,RawData!C:C, $B$2))/(8*COUNTIFS(RawData!$D:$D,$A5,RawData!C:C, $B$2)),"")</f>
        <v/>
      </c>
      <c r="D5" s="9" t="str">
        <f>IF(COUNTIFS(RawData!$D:$D,$A5,RawData!C:C, $B$2) &gt; 0, (SUMIFS(RawData!$V:$V,RawData!$D:$D,$A5,RawData!C:C, $B$2)/COUNTIFS(RawData!$D:$D,$A5,RawData!C:C, $B$2))/8,"")</f>
        <v/>
      </c>
    </row>
    <row r="6">
      <c r="A6" s="1">
        <v>2.0</v>
      </c>
      <c r="B6" s="1" t="s">
        <v>163</v>
      </c>
      <c r="C6" s="9">
        <f>IF(COUNTIFS(RawData!$D:$D,$A6,RawData!C:C, $B$2) &gt; 0, (SUMIFS(RawData!$U:$U,RawData!$D:$D,$A6,RawData!C:C, $B$2))/(8*COUNTIFS(RawData!$D:$D,$A6,RawData!C:C, $B$2)),"")</f>
        <v>0.5</v>
      </c>
      <c r="D6" s="9">
        <f>IF(COUNTIFS(RawData!$D:$D,$A6,RawData!C:C, $B$2) &gt; 0, (SUMIFS(RawData!$V:$V,RawData!$D:$D,$A6,RawData!C:C, $B$2)/COUNTIFS(RawData!$D:$D,$A6,RawData!C:C, $B$2))/8,"")</f>
        <v>0.375</v>
      </c>
    </row>
    <row r="7">
      <c r="A7" s="1">
        <v>3.0</v>
      </c>
      <c r="B7" s="1" t="s">
        <v>172</v>
      </c>
      <c r="C7" s="9">
        <f>IF(COUNTIFS(RawData!$D:$D,$A7,RawData!C:C, $B$2) &gt; 0, (SUMIFS(RawData!$U:$U,RawData!$D:$D,$A7,RawData!C:C, $B$2))/(8*COUNTIFS(RawData!$D:$D,$A7,RawData!C:C, $B$2)),"")</f>
        <v>0.875</v>
      </c>
      <c r="D7" s="9">
        <f>IF(COUNTIFS(RawData!$D:$D,$A7,RawData!C:C, $B$2) &gt; 0, (SUMIFS(RawData!$V:$V,RawData!$D:$D,$A7,RawData!C:C, $B$2)/COUNTIFS(RawData!$D:$D,$A7,RawData!C:C, $B$2))/8,"")</f>
        <v>0.75</v>
      </c>
    </row>
    <row r="8">
      <c r="A8" s="1">
        <v>4.0</v>
      </c>
      <c r="B8" s="1" t="s">
        <v>185</v>
      </c>
      <c r="C8" s="9">
        <f>IF(COUNTIFS(RawData!$D:$D,$A8,RawData!C:C, $B$2) &gt; 0, (SUMIFS(RawData!$U:$U,RawData!$D:$D,$A8,RawData!C:C, $B$2))/(8*COUNTIFS(RawData!$D:$D,$A8,RawData!C:C, $B$2)),"")</f>
        <v>1</v>
      </c>
      <c r="D8" s="9">
        <f>IF(COUNTIFS(RawData!$D:$D,$A8,RawData!C:C, $B$2) &gt; 0, (SUMIFS(RawData!$V:$V,RawData!$D:$D,$A8,RawData!C:C, $B$2)/COUNTIFS(RawData!$D:$D,$A8,RawData!C:C, $B$2))/8,"")</f>
        <v>0.625</v>
      </c>
    </row>
    <row r="9">
      <c r="A9" s="1">
        <v>5.0</v>
      </c>
      <c r="B9" s="1" t="s">
        <v>197</v>
      </c>
      <c r="C9" s="9" t="str">
        <f>IF(COUNTIFS(RawData!$D:$D,$A9,RawData!C:C, $B$2) &gt; 0, (SUMIFS(RawData!$U:$U,RawData!$D:$D,$A9,RawData!C:C, $B$2))/(8*COUNTIFS(RawData!$D:$D,$A9,RawData!C:C, $B$2)),"")</f>
        <v/>
      </c>
      <c r="D9" s="9" t="str">
        <f>IF(COUNTIFS(RawData!$D:$D,$A9,RawData!C:C, $B$2) &gt; 0, (SUMIFS(RawData!$V:$V,RawData!$D:$D,$A9,RawData!C:C, $B$2)/COUNTIFS(RawData!$D:$D,$A9,RawData!C:C, $B$2))/8,"")</f>
        <v/>
      </c>
    </row>
    <row r="10">
      <c r="A10" s="1">
        <v>6.0</v>
      </c>
      <c r="B10" s="1" t="s">
        <v>212</v>
      </c>
      <c r="C10" s="9">
        <f>IF(COUNTIFS(RawData!$D:$D,$A10,RawData!C:C, $B$2) &gt; 0, (SUMIFS(RawData!$U:$U,RawData!$D:$D,$A10,RawData!C:C, $B$2))/(8*COUNTIFS(RawData!$D:$D,$A10,RawData!C:C, $B$2)),"")</f>
        <v>0.625</v>
      </c>
      <c r="D10" s="9">
        <f>IF(COUNTIFS(RawData!$D:$D,$A10,RawData!C:C, $B$2) &gt; 0, (SUMIFS(RawData!$V:$V,RawData!$D:$D,$A10,RawData!C:C, $B$2)/COUNTIFS(RawData!$D:$D,$A10,RawData!C:C, $B$2))/8,"")</f>
        <v>0.4375</v>
      </c>
    </row>
    <row r="11">
      <c r="A11" s="1">
        <v>7.0</v>
      </c>
      <c r="B11" s="1" t="s">
        <v>231</v>
      </c>
      <c r="C11" s="9" t="str">
        <f>IF(COUNTIFS(RawData!$D:$D,$A11,RawData!C:C, $B$2) &gt; 0, (SUMIFS(RawData!$U:$U,RawData!$D:$D,$A11,RawData!C:C, $B$2))/(8*COUNTIFS(RawData!$D:$D,$A11,RawData!C:C, $B$2)),"")</f>
        <v/>
      </c>
      <c r="D11" s="9" t="str">
        <f>IF(COUNTIFS(RawData!$D:$D,$A11,RawData!C:C, $B$2) &gt; 0, (SUMIFS(RawData!$V:$V,RawData!$D:$D,$A11,RawData!C:C, $B$2)/COUNTIFS(RawData!$D:$D,$A11,RawData!C:C, $B$2))/8,"")</f>
        <v/>
      </c>
    </row>
    <row r="12">
      <c r="A12" s="1">
        <v>8.0</v>
      </c>
      <c r="B12" s="1" t="s">
        <v>250</v>
      </c>
      <c r="C12" s="9">
        <f>IF(COUNTIFS(RawData!$D:$D,$A12,RawData!C:C, $B$2) &gt; 0, (SUMIFS(RawData!$U:$U,RawData!$D:$D,$A12,RawData!C:C, $B$2))/(8*COUNTIFS(RawData!$D:$D,$A12,RawData!C:C, $B$2)),"")</f>
        <v>0.5</v>
      </c>
      <c r="D12" s="9">
        <f>IF(COUNTIFS(RawData!$D:$D,$A12,RawData!C:C, $B$2) &gt; 0, (SUMIFS(RawData!$V:$V,RawData!$D:$D,$A12,RawData!C:C, $B$2)/COUNTIFS(RawData!$D:$D,$A12,RawData!C:C, $B$2))/8,"")</f>
        <v>0.5</v>
      </c>
    </row>
    <row r="13">
      <c r="A13" s="1">
        <v>9.0</v>
      </c>
      <c r="B13" s="1" t="s">
        <v>264</v>
      </c>
      <c r="C13" s="9" t="str">
        <f>IF(COUNTIFS(RawData!$D:$D,$A13,RawData!C:C, $B$2) &gt; 0, (SUMIFS(RawData!$U:$U,RawData!$D:$D,$A13,RawData!C:C, $B$2))/(8*COUNTIFS(RawData!$D:$D,$A13,RawData!C:C, $B$2)),"")</f>
        <v/>
      </c>
      <c r="D13" s="9" t="str">
        <f>IF(COUNTIFS(RawData!$D:$D,$A13,RawData!C:C, $B$2) &gt; 0, (SUMIFS(RawData!$V:$V,RawData!$D:$D,$A13,RawData!C:C, $B$2)/COUNTIFS(RawData!$D:$D,$A13,RawData!C:C, $B$2))/8,"")</f>
        <v/>
      </c>
    </row>
    <row r="14">
      <c r="A14" s="1">
        <v>10.0</v>
      </c>
      <c r="B14" s="1" t="s">
        <v>272</v>
      </c>
      <c r="C14" s="9" t="str">
        <f>IF(COUNTIFS(RawData!$D:$D,$A14,RawData!C:C, $B$2) &gt; 0, (SUMIFS(RawData!$U:$U,RawData!$D:$D,$A14,RawData!C:C, $B$2))/(8*COUNTIFS(RawData!$D:$D,$A14,RawData!C:C, $B$2)),"")</f>
        <v/>
      </c>
      <c r="D14" s="9" t="str">
        <f>IF(COUNTIFS(RawData!$D:$D,$A14,RawData!C:C, $B$2) &gt; 0, (SUMIFS(RawData!$V:$V,RawData!$D:$D,$A14,RawData!C:C, $B$2)/COUNTIFS(RawData!$D:$D,$A14,RawData!C:C, $B$2))/8,"")</f>
        <v/>
      </c>
    </row>
    <row r="15">
      <c r="A15" s="1">
        <v>11.0</v>
      </c>
      <c r="B15" s="1" t="s">
        <v>287</v>
      </c>
      <c r="C15" s="9" t="str">
        <f>IF(COUNTIFS(RawData!$D:$D,$A15,RawData!C:C, $B$2) &gt; 0, (SUMIFS(RawData!$U:$U,RawData!$D:$D,$A15,RawData!C:C, $B$2))/(8*COUNTIFS(RawData!$D:$D,$A15,RawData!C:C, $B$2)),"")</f>
        <v/>
      </c>
      <c r="D15" s="9" t="str">
        <f>IF(COUNTIFS(RawData!$D:$D,$A15,RawData!C:C, $B$2) &gt; 0, (SUMIFS(RawData!$V:$V,RawData!$D:$D,$A15,RawData!C:C, $B$2)/COUNTIFS(RawData!$D:$D,$A15,RawData!C:C, $B$2))/8,"")</f>
        <v/>
      </c>
    </row>
    <row r="16">
      <c r="A16" s="1">
        <v>12.0</v>
      </c>
      <c r="B16" s="1" t="s">
        <v>304</v>
      </c>
      <c r="C16" s="9" t="str">
        <f>IF(COUNTIFS(RawData!$D:$D,$A16,RawData!C:C, $B$2) &gt; 0, (SUMIFS(RawData!$U:$U,RawData!$D:$D,$A16,RawData!C:C, $B$2))/(8*COUNTIFS(RawData!$D:$D,$A16,RawData!C:C, $B$2)),"")</f>
        <v/>
      </c>
      <c r="D16" s="9" t="str">
        <f>IF(COUNTIFS(RawData!$D:$D,$A16,RawData!C:C, $B$2) &gt; 0, (SUMIFS(RawData!$V:$V,RawData!$D:$D,$A16,RawData!C:C, $B$2)/COUNTIFS(RawData!$D:$D,$A16,RawData!C:C, $B$2))/8,"")</f>
        <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38"/>
  </cols>
  <sheetData>
    <row r="1">
      <c r="A1" s="2" t="s">
        <v>1</v>
      </c>
    </row>
    <row r="2">
      <c r="A2" s="5" t="str">
        <f>IFERROR(__xludf.DUMMYFUNCTION("ARRAYFORMULA(FILTER(RawData!Q2:Q1000,RawData!Q2:Q1000&lt;&gt;"""",RawData!D2:D1000=CurSprint) &amp; char(10))"),"Улитка - сила. Пока необузданная сила
")</f>
        <v>Улитка - сила. Пока необузданная сила
</v>
      </c>
    </row>
    <row r="3">
      <c r="A3" s="5" t="str">
        <f>IFERROR(__xludf.DUMMYFUNCTION("""COMPUTED_VALUE"""),"Все преодолимо, когда у тебя есть цель
")</f>
        <v>Все преодолимо, когда у тебя есть цель
</v>
      </c>
    </row>
    <row r="4">
      <c r="A4" s="5" t="str">
        <f>IFERROR(__xludf.DUMMYFUNCTION("""COMPUTED_VALUE"""),"Вести личные и рабочие задачи в одном списке но не могу это делать на выходных
")</f>
        <v>Вести личные и рабочие задачи в одном списке но не могу это делать на выходных
</v>
      </c>
    </row>
    <row r="5">
      <c r="A5" s="6"/>
    </row>
    <row r="6">
      <c r="A6" s="5"/>
    </row>
    <row r="7">
      <c r="A7" s="5"/>
    </row>
    <row r="8">
      <c r="A8" s="5"/>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6"/>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25"/>
  </cols>
  <sheetData>
    <row r="1">
      <c r="A1" s="2" t="s">
        <v>346</v>
      </c>
    </row>
    <row r="2">
      <c r="A2" s="5" t="str">
        <f>IFERROR(__xludf.DUMMYFUNCTION("ARRAYFORMULA(FILTER(RawData!R2:R1000,RawData!R2:R1000&lt;&gt;"""",RawData!D2:D1000=CurSprint) &amp; char(10))"),"Вы красаффчики
")</f>
        <v>Вы красаффчики
</v>
      </c>
    </row>
    <row r="3">
      <c r="A3" s="5"/>
    </row>
    <row r="4">
      <c r="A4" s="5"/>
    </row>
    <row r="5">
      <c r="A5" s="5"/>
    </row>
    <row r="6">
      <c r="A6" s="5"/>
    </row>
    <row r="7">
      <c r="A7" s="5"/>
    </row>
    <row r="8">
      <c r="A8" s="5"/>
    </row>
    <row r="9">
      <c r="A9" s="5"/>
    </row>
    <row r="10">
      <c r="A10" s="5"/>
    </row>
    <row r="11">
      <c r="A11" s="5"/>
    </row>
    <row r="12">
      <c r="A12" s="5"/>
    </row>
    <row r="13">
      <c r="A13" s="6"/>
    </row>
    <row r="14">
      <c r="A14" s="6"/>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